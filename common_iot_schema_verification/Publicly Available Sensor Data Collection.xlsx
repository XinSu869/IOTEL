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defaultThemeVersion="202300"/>
  <mc:AlternateContent xmlns:mc="http://schemas.openxmlformats.org/markup-compatibility/2006">
    <mc:Choice Requires="x15">
      <x15ac:absPath xmlns:x15ac="http://schemas.microsoft.com/office/spreadsheetml/2010/11/ac" url="/Users/bailihuige/Documents/AQ/Units/IFN712-backupdone/Paper/"/>
    </mc:Choice>
  </mc:AlternateContent>
  <xr:revisionPtr revIDLastSave="0" documentId="13_ncr:1_{84A0562E-7FB9-EF45-92E7-9D673C73DE03}" xr6:coauthVersionLast="47" xr6:coauthVersionMax="47" xr10:uidLastSave="{00000000-0000-0000-0000-000000000000}"/>
  <bookViews>
    <workbookView xWindow="0" yWindow="500" windowWidth="28800" windowHeight="17500" activeTab="1" xr2:uid="{74ED90C7-541B-E540-8B3C-32A6F6F5FB65}"/>
  </bookViews>
  <sheets>
    <sheet name="FilterCriteria" sheetId="5" r:id="rId1"/>
    <sheet name="SearchResults" sheetId="2" r:id="rId2"/>
    <sheet name="FilteredResults" sheetId="1" r:id="rId3"/>
    <sheet name="DatasetInfo" sheetId="3" r:id="rId4"/>
    <sheet name="Analysis" sheetId="4" r:id="rId5"/>
  </sheet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4" l="1"/>
  <c r="C30" i="4"/>
  <c r="C31" i="4"/>
  <c r="C32" i="4"/>
  <c r="C33" i="4"/>
  <c r="C34" i="4"/>
  <c r="C35" i="4"/>
  <c r="C36" i="4"/>
  <c r="G11" i="2"/>
  <c r="F11" i="2"/>
  <c r="H72" i="3"/>
  <c r="I72" i="3"/>
  <c r="J72" i="3"/>
  <c r="K72" i="3"/>
  <c r="L72" i="3"/>
  <c r="N72" i="3"/>
  <c r="M72" i="3"/>
  <c r="G72" i="3"/>
  <c r="G10" i="2"/>
  <c r="G8" i="2"/>
  <c r="G6" i="2"/>
  <c r="G5" i="2"/>
  <c r="G4" i="2"/>
</calcChain>
</file>

<file path=xl/sharedStrings.xml><?xml version="1.0" encoding="utf-8"?>
<sst xmlns="http://schemas.openxmlformats.org/spreadsheetml/2006/main" count="651" uniqueCount="344">
  <si>
    <t>Repository</t>
  </si>
  <si>
    <t>Generalist data repository</t>
  </si>
  <si>
    <t>Link</t>
  </si>
  <si>
    <t>https://datadryad.org/dataset/doi:10.5061/dryad.0gb5mkm8d</t>
  </si>
  <si>
    <t>IoT</t>
  </si>
  <si>
    <t>https://datadryad.org/dataset/doi:10.5061/dryad.w0vt4b939#readme</t>
  </si>
  <si>
    <t>LoRaWAN gateway performance and vehicle tracking data in AERPAW testbed</t>
  </si>
  <si>
    <t>Title</t>
  </si>
  <si>
    <t>FlyPaw: Optimized route planning for scientific UAV missions</t>
  </si>
  <si>
    <t>https://datadryad.org/dataset/doi:10.25349/D9KS3W</t>
  </si>
  <si>
    <t>Dryad Digital Repository</t>
  </si>
  <si>
    <t>figshare</t>
  </si>
  <si>
    <t>Aerial Measurements from Outdoor 2.4GHz 802.15.4 Network</t>
  </si>
  <si>
    <t>Key Words</t>
  </si>
  <si>
    <t>Date</t>
  </si>
  <si>
    <t>"sensor dataset"</t>
  </si>
  <si>
    <t>A multi-modal sensor dataset for continuous stress detection of nurses in a hospital</t>
  </si>
  <si>
    <t>https://datadryad.org/dataset/doi:10.5061/dryad.5hqbzkh6f#usage</t>
  </si>
  <si>
    <t>https://datadryad.org/dataset/doi:10.5061/dryad.2rbnzs7z3#readme</t>
  </si>
  <si>
    <t>A multi-sensor gait dataset collected under non-standardized dual-task conditions</t>
  </si>
  <si>
    <t>https://datadryad.org/dataset/doi:10.5061/dryad.9ghx3ffpp</t>
  </si>
  <si>
    <t>mRI: multi-modal 3d human pose estimation dataset using mmwave, rgb-d, and inertial sensors</t>
  </si>
  <si>
    <t>Zenodo</t>
  </si>
  <si>
    <t>https://zenodo.org/records/16811020</t>
  </si>
  <si>
    <t>SIMPaCT Soil Moisture Sensor Dataset</t>
  </si>
  <si>
    <t>Drone onboard multi-modal sensor dataset</t>
  </si>
  <si>
    <t>https://zenodo.org/records/7643456</t>
  </si>
  <si>
    <t>FIlters</t>
  </si>
  <si>
    <t>Open, Dataset</t>
  </si>
  <si>
    <t>Multimodal Sensor Dataset from Wood/Forest Environment - Adões</t>
  </si>
  <si>
    <t>https://zenodo.org/records/13757335</t>
  </si>
  <si>
    <t>Multimodal Sensor Dataset from Wood/Forest Environment - iParque</t>
  </si>
  <si>
    <t>https://zenodo.org/records/13757084</t>
  </si>
  <si>
    <t>Multi-Sensor Dataset From Android Smart Devices</t>
  </si>
  <si>
    <t>https://zenodo.org/records/8340005</t>
  </si>
  <si>
    <t>Dataset of tactile signatures of the human hand in twenty one activities of daily living</t>
  </si>
  <si>
    <t>https://zenodo.org/records/4607289</t>
  </si>
  <si>
    <t>Optimized Pressure Sensor Dataset for Driving Posture Recognition (DPR)</t>
  </si>
  <si>
    <t>https://zenodo.org/records/15199100</t>
  </si>
  <si>
    <t>Drone onboard multi-modal sensor dataset for complex outdoor scenarios</t>
  </si>
  <si>
    <t>https://zenodo.org/records/13682870</t>
  </si>
  <si>
    <t>7in 1 Sensor Dataset for Cotton fields in Pakistan 2023</t>
  </si>
  <si>
    <t>https://zenodo.org/records/8371502</t>
  </si>
  <si>
    <t>Perception Sensor Dataset For Bioinspired Landing Trajectories Of An Ornithopter Robot</t>
  </si>
  <si>
    <t>https://zenodo.org/records/3930442</t>
  </si>
  <si>
    <t>Bio-logger Ethogram Benchmark: A benchmark for computational analysis of animal behavior, using animal-borne tags</t>
  </si>
  <si>
    <t>https://zenodo.org/records/10982620</t>
  </si>
  <si>
    <t>MSPB: a longitudinal multi-sensor dataset with phenotypic trait measurements from honey bees</t>
  </si>
  <si>
    <t>https://zenodo.org/records/11398835</t>
  </si>
  <si>
    <t>Measuring Hydrogen in Indoor Air with a Selective Metal Oxide Semiconductor Sensor: Dataset</t>
  </si>
  <si>
    <t>https://zenodo.org/records/4593853</t>
  </si>
  <si>
    <t>https://zenodo.org/records/5514277</t>
  </si>
  <si>
    <t>Multi-Sensor Dataset in outdoor and indoor environment from Android Smart Devices and ULISS</t>
  </si>
  <si>
    <t>https://zenodo.org/records/12566912</t>
  </si>
  <si>
    <t>MAISON-LLF: Multimodal Sensor Dataset for Monitoring Older Adults Post Lower-Limb Fractures in Community Settings</t>
  </si>
  <si>
    <t>https://zenodo.org/records/14911563</t>
  </si>
  <si>
    <t>Multi-sensor dataset for testing merge of Hyperspectral, HD and 3D cloud information for image recognition</t>
  </si>
  <si>
    <t>https://zenodo.org/records/4010348</t>
  </si>
  <si>
    <t>Multi-sensor Dataset of Multiple Sequential Human-to-Human Object Handovers in Shelving and Un-shelving Tasks</t>
  </si>
  <si>
    <t>https://zenodo.org/records/7895500</t>
  </si>
  <si>
    <t>Geo-tagged Tweets in Paris during Nov 2015</t>
  </si>
  <si>
    <t>https://zenodo.org/records/819905</t>
  </si>
  <si>
    <t>AUV-Based Multi-Sensor Dataset: Forward-Looking Camera (FLC) and Forward-Looking Sonar (FLS) Observations in the Red Sea</t>
  </si>
  <si>
    <t>https://zenodo.org/records/10544811</t>
  </si>
  <si>
    <t>Multimodal Sensor Dataset from a Forest Environment in Adões using a Unitree Go1 Platform equipped with a Robosense BPearl LiDAR</t>
  </si>
  <si>
    <t>https://zenodo.org/records/13754606</t>
  </si>
  <si>
    <t>Multimodal Sensor Dataset from a Forest Environment in Adões using a Unitree Go1 Platform equipped with a Velarray M1600 LiDAR</t>
  </si>
  <si>
    <t>https://zenodo.org/records/13754446</t>
  </si>
  <si>
    <t>ROV-Based Multi-Sensor Dataset: Synchronized Camera and Sonar images taken in the Tropical Waters of the Red Sea, Eilat</t>
  </si>
  <si>
    <t>https://zenodo.org/records/12093143</t>
  </si>
  <si>
    <t>Datasets and Supporting Materials for the MALIN-ANR 2019 Competition (French national research agency)</t>
  </si>
  <si>
    <t>https://zenodo.org/records/4290789</t>
  </si>
  <si>
    <t>Large scale machine tool axes heating data: 49 thermocouples, 14 Integral Deformation Sensors</t>
  </si>
  <si>
    <t>https://zenodo.org/records/16579804</t>
  </si>
  <si>
    <t>SubPipe: A Submarine Pipeline Inspection Dataset for Segmentation and Visual-inertial Localization</t>
  </si>
  <si>
    <t>https://zenodo.org/records/12666132</t>
  </si>
  <si>
    <t>Machine Learning-based Human Life Detection Behind Walls Exploiting a UWB Radar Sensor</t>
  </si>
  <si>
    <t>https://zenodo.org/records/10779256</t>
  </si>
  <si>
    <t>Phase 1: Real-Time Validation of a STOE-Based Gravity Propulsion Engine Using Optical Sensors and Entropic AI Analytics</t>
  </si>
  <si>
    <t>https://zenodo.org/records/15569226</t>
  </si>
  <si>
    <t>MARSS-2025 Marine IoT Sensor Dataset</t>
  </si>
  <si>
    <t>https://zenodo.org/records/15553598</t>
  </si>
  <si>
    <t>Spintronic Sensor Dataset for Vehicle Detection and Car Model Recognition (14 Days, Unlabeled with Timestamps)</t>
  </si>
  <si>
    <t>https://zenodo.org/records/15475624</t>
  </si>
  <si>
    <t>Harvard Dataverse</t>
  </si>
  <si>
    <t>Datasets</t>
  </si>
  <si>
    <t>Open Science Framework</t>
  </si>
  <si>
    <t>Wearable inertial measurement and ECG sensors Dataset</t>
  </si>
  <si>
    <t>https://dataverse.harvard.edu/dataset.xhtml?persistentId=doi:10.7910/DVN/6CKENX</t>
  </si>
  <si>
    <t>SignSpeak American Sign Language Dataset</t>
  </si>
  <si>
    <t>https://dataverse.harvard.edu/dataset.xhtml?persistentId=doi:10.7910/DVN/ODY7GH</t>
  </si>
  <si>
    <t>Indian Rash Driving IMU Sensor Dataset</t>
  </si>
  <si>
    <t>https://osf.io/4g87c/</t>
  </si>
  <si>
    <t>ResultCounts</t>
  </si>
  <si>
    <t>FilteredCounts</t>
  </si>
  <si>
    <t>Data was collected by a smartphone’s built-in IMU sensors (accelerometer + gyroscope) running the Sensor Logger Android app, which qualifies as an IoT data source</t>
  </si>
  <si>
    <t>Detection and classification of rash driving patterns using smartphone IMU signals</t>
  </si>
  <si>
    <t>Transportation</t>
  </si>
  <si>
    <t>Using 5 flex sensors connected to an Arduino ATMega microcontroller, producing digitised signals (0–1023)</t>
  </si>
  <si>
    <t>Sign language recognition dataset — gestures corresponding to 26 alphabet letters (A–Z) and 10 digits (1–10)</t>
  </si>
  <si>
    <t>Health</t>
  </si>
  <si>
    <t>Captured by wearable Shimmer3 inertial sensors (accelerometer + gyroscope) mounted at the waist, logging at 50 Hz with timestamped readings</t>
  </si>
  <si>
    <t>Human behaviour analysis from multimodal inertial wearables; activity recognition (standing, walking, stand→sit) and fall-detection benchmarking</t>
  </si>
  <si>
    <t>It uses a spintronic magnetic field sensor deployed at an entrance gate to capture real-world vehicle passage signals</t>
  </si>
  <si>
    <t>Magnetic field signals from vehicles entering/exiting a facility</t>
  </si>
  <si>
    <t>Includes environmental data + operational/communication metrics + spoofing labels for security research</t>
  </si>
  <si>
    <t>Long-term marine IoT dataset for environmental monitoring and IoT system security</t>
  </si>
  <si>
    <t>Environment</t>
  </si>
  <si>
    <t>Real-time physical measurements from a USB optical sensor, combined with AI-based signal interpretation and simulation outputs</t>
  </si>
  <si>
    <t>Experimental validation of a gravity propulsion engine within the Simplified Theory of Everything (STOE) and Gluon Orbit Theory</t>
  </si>
  <si>
    <t>Physics</t>
  </si>
  <si>
    <t>Includes human presence (standing, lying) and no-human control sessions</t>
  </si>
  <si>
    <t>Life-sign detection (breathing rate) behind walls using UWB radar</t>
  </si>
  <si>
    <t>Public Safety</t>
  </si>
  <si>
    <t>It uses IoT-enabled sensing on an AUV, including cameras, side-scan sonar, and inertial navigation sensors</t>
  </si>
  <si>
    <t>An annotated underwater pipeline inspection dataset</t>
  </si>
  <si>
    <t>Robotics</t>
  </si>
  <si>
    <t>It integrates structural IoT sensors (IDS bars, thermocouples) and embedded CNC machine sensors (positions, loads, power, temperatures)</t>
  </si>
  <si>
    <t>Dataset for analysing thermal effects and structural deformations in a large-scale CNC machining centre</t>
  </si>
  <si>
    <t>Manufacturing</t>
  </si>
  <si>
    <t>It uses multiple wearable and body-mounted IoT sensors (GNSS, IMU, stereo camera, PERSY foot-mounted system) to record positioning and movement data</t>
  </si>
  <si>
    <t>Dataset for localisation and positioning under challenging conditions</t>
  </si>
  <si>
    <t>Dataset for multimodal robot perception using LiDAR, IMU, and camera streams</t>
  </si>
  <si>
    <t>It uses underwater IoT sensors (forward-looking camera, forward-looking sonar, depth sensor) mounted on the Blue-ROV2</t>
  </si>
  <si>
    <t>Obstacle detection and navigation in tropical underwater environments</t>
  </si>
  <si>
    <t>It uses robot-mounted IoT sensors (LiDAR, IMU, RGB camera) integrated into the Unitree Go1 quadruped robot platform</t>
  </si>
  <si>
    <t>Dataset for robot navigation and perception using multimodal sensors</t>
  </si>
  <si>
    <t>It uses underwater IoT sensing devices: a forward-looking sonar (FLS), forward-looking camera (FLC), and navigation sensors (GPS, DVL, IMU)</t>
  </si>
  <si>
    <t>Multimodal dataset for fusion of sonar and camera data to improve obstacle detection and navigation in AUVs</t>
  </si>
  <si>
    <t>Permanent traffic sensors installed on the Paris city road network</t>
  </si>
  <si>
    <t>Quantitative evaluation of urban behavioral changes after a disaster event (2015 Paris terrorist attacks)</t>
  </si>
  <si>
    <t>Smart Cities</t>
  </si>
  <si>
    <t>Includes multimodal recordings: RGB video, depth maps, 3D motion capture (bones + markers), and anthropometric measurements.</t>
  </si>
  <si>
    <t>Sequential human-to-human object handovers in shelving and unshelving tasks</t>
  </si>
  <si>
    <t>It uses imaging IoT sensors (hyperspectral camera, Kinect depth sensor, HD camera on a mobile robotic chassis) to capture multimodal data (images, spectra, and 3D point clouds)</t>
  </si>
  <si>
    <t>Multisensor benchmarking dataset for image recognition</t>
  </si>
  <si>
    <t>The dataset was collected using wearable and ambient IoT sensors (acceleration, heart rate, motion, position, sleep, steps)</t>
  </si>
  <si>
    <t>Remote patient monitoring</t>
  </si>
  <si>
    <t>GNSS raw measurements &amp; position fixes, Accelerometer, Gyroscope, Magnetometer, Barometer, Step counter / step detector</t>
  </si>
  <si>
    <t>Multimodal sensor dataset for GNSS-based positioning and context detection</t>
  </si>
  <si>
    <t>Mobile</t>
  </si>
  <si>
    <t>VOC concentrations (ppb), humidity, CO, H₂, TVOCs (ppb + µg/m³), and timestamps</t>
  </si>
  <si>
    <t>Temperature-modulated metal-oxide gas sensing</t>
  </si>
  <si>
    <t>Includes temperature, humidity, and acoustic features from sensors placed in beehives.</t>
  </si>
  <si>
    <t>Multi-modal monitoring of honeybee colonies with environmental sensors and phenotypic trait</t>
  </si>
  <si>
    <t>Agriculture</t>
  </si>
  <si>
    <t>Onboard wearable sensors and animal-borne sensors (e.g., accelerometers, gyroscopes) used to capture behavior/activity signals</t>
  </si>
  <si>
    <t>Standardized benchmark for evaluating behavior classification models from multi-sensor datasets</t>
  </si>
  <si>
    <t>Animal</t>
  </si>
  <si>
    <t>Data was collected from simulated onboard sensors during bioinspired landing maneuvers.</t>
  </si>
  <si>
    <t>Landing maneuvers of a bioinspired ornithopter</t>
  </si>
  <si>
    <t>Includes crop details (type, sowing date, acreage, location, coordinates, monitoring date, device ID)</t>
  </si>
  <si>
    <t>Monitoring cotton crop growth and field conditions, combining sowing, acreage, geolocation, and sensor-based data for agricultural decision-making</t>
  </si>
  <si>
    <t>The dataset is directly collected from drone-integrated sensors (IMU, GNSS, flight controller) and an external TriSonica Mini weather sensor.</t>
  </si>
  <si>
    <t>UAV telemetry dataset with labeled states and environmental factors</t>
  </si>
  <si>
    <t>30 healthy adults with varying BMI, height, weight, 20 distinct driving postures</t>
  </si>
  <si>
    <t>Driving posture recognition using pressure sensors</t>
  </si>
  <si>
    <t>raw &amp; interpolated pressure values, grip force, contribution of 18 sensing regions, synchronization indices among subjects</t>
  </si>
  <si>
    <t>Tactile sensing of human hand during activities of daily living (ADL)</t>
  </si>
  <si>
    <t>Data collected with an Android app called Mimir (and GNSSLogger for some sessions), across five devices</t>
  </si>
  <si>
    <t>Raw GNSS and multi-sensor dataset from Android devices</t>
  </si>
  <si>
    <t>Contains synchronized multi-sensor recordings (LiDAR, stereo + RGB-D cameras, IMU, GNSS)</t>
  </si>
  <si>
    <t>iParque - Multimodal robotic sensor dataset in a forest scenario. Trajectory recording, perception, and localization for robotic research.</t>
  </si>
  <si>
    <t>Adões - Multimodal robotic sensor dataset in a forest scenario. Trajectory recording, perception, and localization for robotic research.</t>
  </si>
  <si>
    <t>Time series dataset of multiple drone flights using a DJI Matrice 300 (M300). Includes unique flight IDs, timestamps, position, orientation, velocity, acceleration, battery status, payload type, weather conditions, and drone states (IDLE_HOVER, ASCEND, TURN, HMSL, DESCEND). Designed for trajectory prediction, classification, and UAV control research under different flight patterns (triangular, square, polygonal, random).</t>
  </si>
  <si>
    <t>Drone flight telemetry and state classification. Trajectory prediction and multi-task learning with sensor data</t>
  </si>
  <si>
    <t>Aerospace</t>
  </si>
  <si>
    <t>VWC readings</t>
  </si>
  <si>
    <t>Soil moisture monitoring dataset, used to study mutual-information-based virtual sensor prediction</t>
  </si>
  <si>
    <t>40 RGB videos, raw data: imu, radar, annotations, timestamps, video labels.</t>
  </si>
  <si>
    <t>Multi-modal 3D human pose estimation dataset, fusing radar, IMU, and RGB-D data across 20 subjects</t>
  </si>
  <si>
    <t>23 participants × 2 sessions × 4 tasks. Folders: Raw (MOCAP, Kinect, IMU, Timestamp), Processed (segmented by sensor, session, phase, task), and Parameters (spatio-temporal &amp; kinematic features). Demographics provided; data de-identified</t>
  </si>
  <si>
    <t>Human gait under non-standardized dual-task walking (normal, holding a water cup, texting, browsing the web), with repeated sessions and segmented phases (go, back, turn)</t>
  </si>
  <si>
    <t>A dataset of 15 nurses collected during the COVID-19 outbreak in a natural hospital work environment. It includes continuous biometric sensor signals (EDA, HR, TEMP, IBI, BVP, ACC) from wearable devices, contextual event tagging, and periodic smartphone-based stress surveys with stress levels and contributing factors.</t>
  </si>
  <si>
    <t>Stress detection using wearable biometric signals and contextual surveys</t>
  </si>
  <si>
    <t>Signal strength and reception rate of packets</t>
  </si>
  <si>
    <t>Communication</t>
  </si>
  <si>
    <t>It evaluates the performance of LoRaWAN gateways by analyzing received telemetry data from a moving vehicle (i.e., helikite). Key metrics include Received Signal Strength Indicator (RSSI), Signal-to-Noise Ratio (SNR), transmission timestamps, and geographic data.</t>
  </si>
  <si>
    <t>LoRaWAN gateway performance</t>
  </si>
  <si>
    <t>It integrates UAV telemetry with wireless network performance (srsRAN SDR + iperf) and flight state logs to support experiments in optimized UAV route planning.</t>
  </si>
  <si>
    <t>Optimized route planning for scientific UAV missions</t>
  </si>
  <si>
    <t>Hourly and daily measurements of volumetric water content, soil temperature, and bulk electrical conductivity</t>
  </si>
  <si>
    <t>A field-scale sensor network data set for monitoring and modeling the spatial and temporal variation of soil moisture in a dryland agricultural field</t>
  </si>
  <si>
    <t>Deployment</t>
  </si>
  <si>
    <t>Platform</t>
  </si>
  <si>
    <t>Result</t>
  </si>
  <si>
    <t>FeatureOfInterest</t>
  </si>
  <si>
    <t>Website</t>
  </si>
  <si>
    <t>SourcePlatform</t>
  </si>
  <si>
    <t>Content</t>
  </si>
  <si>
    <t>Topic</t>
  </si>
  <si>
    <t>Industry</t>
  </si>
  <si>
    <t>DatasetNo</t>
  </si>
  <si>
    <t>FAIRsharing.org - Movebank Data Repository</t>
  </si>
  <si>
    <t>FAIRsharing.org - Norwegian Polar Data Centre</t>
  </si>
  <si>
    <t>sensor dataset</t>
  </si>
  <si>
    <t>CTD profiles with auxiliary sensors from Kongsfjorden and Rijpfjorden cruises in 2011-2020</t>
  </si>
  <si>
    <t>https://data.npolar.no/dataset/7414766f-c05d-4360-b08e-ee03bf874086</t>
  </si>
  <si>
    <t>Conductivity-Temperature-Depth (CTD) profiles and auxiliary oceanographic measurements in Arctic fjords (Kongsfjorden and Rijpfjorden)</t>
  </si>
  <si>
    <t>Data include temperature, conductivity, salinity, fluorescence (calibrated with bottle chlorophyll samples), dissolved oxygen (uncalibrated), CDOM fluorescence, beam attenuation, PAR/SPAR, and turbidity</t>
  </si>
  <si>
    <t>N-ICE2015 buoy data</t>
  </si>
  <si>
    <t>https://data.npolar.no/dataset/6ed9a8ca-95b0-43be-bedf-8176bf56da80</t>
  </si>
  <si>
    <t>Sea ice dynamics, thermodynamics, and snow/ice interactions during the N-ICE2015 expedition north of Svalbard</t>
  </si>
  <si>
    <t>This dataset contains GPS positions and sensor data from 42 buoys deployed in two arrays (winter and spring 2015) as part of the N-ICE2015 expedition. The buoys recorded sea ice drift, snow depth, ice thickness, temperature profiles, stress, radiation, and wave data.</t>
  </si>
  <si>
    <t>CTD profiles from NPI cruise AO-I-2023 to the Fram Strait in June 2023, including core parameters measured from Niskin bottle samples</t>
  </si>
  <si>
    <t>https://data.npolar.no/dataset/9605165a-bcb0-45e4-9fe6-fccaf7956578/file</t>
  </si>
  <si>
    <t>CTD profiles of hydrographic and biogeochemical parameters from the Fram Strait (Arctic Ocean)</t>
  </si>
  <si>
    <t>Include temperature, conductivity, practical salinity (EOS-80), dissolved oxygen, chlorophyll fluorescence, CDOM fluorescence, and beam attenuation, all binned at 1 dbar vertical resolution</t>
  </si>
  <si>
    <t>CTD profiles with auxiliary sensors from NPI cruise AO-II-2023 in the northern Svalbard shelf slope and in the Nansen Basin in August 2023</t>
  </si>
  <si>
    <t>https://data.npolar.no/dataset/7b5b8509-62f2-4b3b-b5a8-af94e27551d5</t>
  </si>
  <si>
    <t>Hydrographic and biogeochemical profiles from the Nansen Basin and north of Svalbard, collected during Arctic Ocean 2023 – 2 expedition</t>
  </si>
  <si>
    <t>It includes temperature, conductivity, salinity (EOS-80), uncalibrated dissolved oxygen, chlorophyll fluorescence (calibrated), CDOM fluorescence (voltage only), and beam attenuation, all binned at 1 dbar resolution</t>
  </si>
  <si>
    <t>Firn temperature data from Austfonna, Svalbard, 2009-2022</t>
  </si>
  <si>
    <t>https://data.npolar.no/dataset/10db6623-3a5c-4eb4-aee1-13d5f37bfb7a</t>
  </si>
  <si>
    <t>Subsurface temperature evolution in firn/ice at Austfonna ice cap (Svalbard) over a 13-year period</t>
  </si>
  <si>
    <t>This dataset contains subsurface temperature data collected at site Camp (773 m a.s.l.) on Austfonna ice cap, Svalbard, 2009–2022, monitored by the Norwegian Polar Institute and University of Oslo</t>
  </si>
  <si>
    <t>N-ICE2015 surface and under-ice spectral shortwave radiation data</t>
  </si>
  <si>
    <t>https://data.npolar.no/dataset/9089792e-f5b2-5db3-9a46-268f775b1d8d</t>
  </si>
  <si>
    <t>Spectral shortwave radiation (incident, reflected, transmitted) across snow-ice-ocean interfaces during the N-ICE2015 expedition (Floe 3 &amp; 4 supersite and refrozen lead transects)</t>
  </si>
  <si>
    <t>Measurements include downwelling and upwelling irradiance, albedo, and transmittance at fixed "supersite" locations on Floe 3 and 4, and incident/transmitted irradiance across a refrozen lead transect near R/V Lance.</t>
  </si>
  <si>
    <t>Oceanographic data from Seaglider deployment during Troll Transect cruise 2020-2021, Kong Håkon VII Hav, Antarctica</t>
  </si>
  <si>
    <t>https://data.npolar.no/dataset/1959df96-4218-4fdd-b34a-77b7bf1b4b70/file?prefix=%2FSG546%2Fraw%2F</t>
  </si>
  <si>
    <t>Preliminary hydrographic profiles (temperature–salinity pairs) from a Seaglider mission</t>
  </si>
  <si>
    <t>Contains preliminary, uncalibrated measurements of conservative temperature and salinity collected by a Seaglider autonomous underwater vehicle between 28 December 2020 and 17 March 2021</t>
  </si>
  <si>
    <t>Amundsen-22 mooring, Amundsen Basin of the Arctic Ocean (2022-2024): Ocean temperature, salinity, pressure, and currents</t>
  </si>
  <si>
    <t>https://data.npolar.no/dataset/92445174-7f22-4e04-8df8-fc0965720265</t>
  </si>
  <si>
    <t>Long-term hydrography and ocean current observations from the Amundsen Basin, Arctic Ocean (723-day mooring)</t>
  </si>
  <si>
    <t>Contains hydrographic (temperature, salinity, pressure, conductivity) and ocean current data from the Amundsen-22 mooring, deployed at 4215 m depth in the Amundsen Basin between 7 Aug 2022 – 30 Jul 2024 during Arctic Ocean cruises on the R/V Kronprins Haakon</t>
  </si>
  <si>
    <t>M1 mooring, northwestern Barents Sea: Physical oceanography data from 2021 onward</t>
  </si>
  <si>
    <t>https://data.npolar.no/dataset/bb2d725f-76b7-44c2-b184-60c6e17dfacd</t>
  </si>
  <si>
    <t>Long-term hydrographic time series in the northwestern Barents Sea slope region, aimed at capturing inflow variability from the north</t>
  </si>
  <si>
    <t>Measured temperature, salinity, pressure, conductivity at multiple depths (22–250 m)</t>
  </si>
  <si>
    <t>Physical oceanography data (1981 to 2015)</t>
  </si>
  <si>
    <t>https://data.npolar.no/dataset/e3d4f892-2ccc-5b9a-8a6b-8330bc1ec9ee</t>
  </si>
  <si>
    <t>Long-term physical oceanography and sea ice data from 1981–2015, including currents, hydrography, sea ice drift, and sea ice thickness</t>
  </si>
  <si>
    <t>Contains Moored instrument data, CTD casts, Bottle data, Sea ice thickness, Sea ice drift</t>
  </si>
  <si>
    <t>Nansen-22 mooring, Nansen Basin of the Arctic Ocean (2022-2024): Ocean temperature, salinity, pressure, and currents</t>
  </si>
  <si>
    <t>https://data.npolar.no/dataset/67ffb476-6bfa-4ec1-94f5-9cdb2ca2aa9b</t>
  </si>
  <si>
    <t>Long-term hydrography and current measurements from the Nansen Basin, Arctic Ocean (722-day mooring)</t>
  </si>
  <si>
    <t>The dataset includes: Hydrography: Temperature, salinity, pressure, conductivity from multiple depths (50–3792 m).Currents: Horizontal velocity profiles from two ADCPs (shallow RDI 300 kHz, deep Nortek Signature55)</t>
  </si>
  <si>
    <t>Helicopter-borne sea-ice thickness measurements from the 2014 IRO2 /ESA SMOSice campaign cruise in the Barents Sea region</t>
  </si>
  <si>
    <t>https://data.npolar.no/dataset/ee8f4f8d-3ed8-411b-99be-e52dedc2efe1</t>
  </si>
  <si>
    <t>Sea ice + snow thickness mapping in the Barents Sea region during March 2014</t>
  </si>
  <si>
    <t>This dataset contains sea ice thickness measurements from 8 helicopter flights in March 2014 across the Barents Sea</t>
  </si>
  <si>
    <t>Time series of ocean currents, temperature, salinity, and pressure from ocean moorings M1 and M2 in the northwestern Barents Sea</t>
  </si>
  <si>
    <t>https://data.npolar.no/dataset/1a68b156-6f96-4824-8b10-40f07acbd632</t>
  </si>
  <si>
    <t>Long-term hydrography and current observations from two gateway moorings (M1, M2) in the northern Barents Sea, part of the Nansen Legacy project</t>
  </si>
  <si>
    <t>Hydrography: Conductivity, temperature, and pressure from RBR Concerto and SBE16plus v2; temperature from RBR Solo. Currents: Near-surface from Nortek Signature 500 kHz ADCPs; full water column from RDI 150 kHz ADCPs</t>
  </si>
  <si>
    <t>CTD profiles from Troll Transect cruise 2020-2021 to Dronning Maud Land, Antarctica</t>
  </si>
  <si>
    <t>https://data.npolar.no/dataset/b1504a66-9332-4f45-98ed-01450e1635f6</t>
  </si>
  <si>
    <t>CTD hydrography and auxiliary biogeochemical data from the Troll Transect Cruise 2020–2021 off Dronning Maud Land, Antarctica</t>
  </si>
  <si>
    <t>Include temperature, conductivity, salinity, chlorophyll fluorescence (calibrated), and dissolved oxygen (uncalibrated + raw voltage)</t>
  </si>
  <si>
    <t>CTD profiles from NPI cruise AO-2022 across the Nansen and Amundsen Basins of the Arctic Ocean and core parameters measured from niskin bottle samples</t>
  </si>
  <si>
    <t>https://data.npolar.no/dataset/d1e609e2-08ff-4638-843c-28d039c9d33c</t>
  </si>
  <si>
    <t>Hydrography and biogeochemistry in the Nansen and Amundsen Basins of the Arctic Ocean during the AO-2022 research cruise</t>
  </si>
  <si>
    <t>Profiles include temperature, conductivity, salinity (derived), dissolved oxygen, and CDOM fluorescence</t>
  </si>
  <si>
    <t>Helicopter-borne sea-ice thickness measurements from the Fram Strait Cruise 2014</t>
  </si>
  <si>
    <t>https://data.npolar.no/dataset/1ed8c57e-8041-42fd-95bb-cfe4e181e9b8</t>
  </si>
  <si>
    <t>Airborne measurements of sea ice thickness (ice + snow) in the Fram Strait region</t>
  </si>
  <si>
    <t>Contains sea ice thickness measurements from 9 helicopter flights conducted in the Fram Strait between August–September 2014</t>
  </si>
  <si>
    <t>Conductivity-Temperature-Depth (CTD) profiles from Norwegian Polar Institute cruise AO-2024 to the Nansen and Amundsen Basins of the Arctic Ocean and core parameters measured from niskin bottle samples</t>
  </si>
  <si>
    <t>https://data.npolar.no/dataset/60e6f94c-3ee4-44eb-9f34-f49d26029b2f</t>
  </si>
  <si>
    <t>Hydrography and biogeochemistry in the Nansen and Amundsen Basins, Arctic Ocean during the AO2024 cruise</t>
  </si>
  <si>
    <t>CTD data include temperature, conductivity, salinity (derived), and dissolved oxygen. Laboratory measurements from Niskin bottle samples include salinity, dissolved oxygen, and chlorophyll</t>
  </si>
  <si>
    <t>Ice core data and hyperspectral imaging (UHI) data from Tempelfjorden and Van Mijenfjorden collected in 2021 as well as sea ice algal laboratory experiments and hyperspectral laboratory surveys conducted at UiT in 2021</t>
  </si>
  <si>
    <t>https://data.npolar.no/dataset/974eb850-325c-4259-a7a4-5e01e8f635e5</t>
  </si>
  <si>
    <t>Coupled sea ice algal biofilm studies using under-ice hyperspectral imaging and ice core biogeochemistry (chl a, pigments), including lab incubation experiments with monocultures</t>
  </si>
  <si>
    <t>Sea ice cores from Tempelfjorden and Van Mijenfjorden, Svalbard, combined with UHI spectral imaging surveys beneath the ice</t>
  </si>
  <si>
    <t>Sea ice drift from SVP buoys deployed in western Fram Strait in spring 2022</t>
  </si>
  <si>
    <t>https://data.npolar.no/dataset/ab9371f7-542f-4e07-beb0-3d2771d1d111</t>
  </si>
  <si>
    <t>Time-series of sea ice drift, air pressure, and temperature from drifting buoys deployed during CIRFA 2022</t>
  </si>
  <si>
    <t>Include GPS position, air temperature, air pressure, pressure tendency, and battery voltage, with variable sampling intervals (hourly → half-hourly → daily/bi-daily)</t>
  </si>
  <si>
    <t>Microstructure Profiler (MSS) profiles from Kongsfjorden 2021</t>
  </si>
  <si>
    <t>https://data.npolar.no/dataset/d2a4f5c8-6122-4594-b301-dd909776833f</t>
  </si>
  <si>
    <t>Microstructure turbulence and hydrography in Kongsfjorden, Svalbard (August 2021)</t>
  </si>
  <si>
    <t>Dissipation rate of turbulent kinetic energy, In situ temperature, Practical salinity</t>
  </si>
  <si>
    <t>re3data.org.</t>
  </si>
  <si>
    <t>No data files can be found, only description</t>
  </si>
  <si>
    <t>Note</t>
  </si>
  <si>
    <t>Meteorological data collected at Troll Station and Airfield (Dronning Maud Land - Antarctica)</t>
  </si>
  <si>
    <t>https://data.npolar.no/dataset/79d4b7c7-3bee-40a6-975f-f9ed4d253c44</t>
  </si>
  <si>
    <t>High-resolution meteorological observations in Antarctica (Troll research station &amp; Troll airfield, Dronning Maud Land)</t>
  </si>
  <si>
    <t>Data is recorded approximately once per minute and includes pressure, wind, temperature, humidity, radiation, and ice/ground temperatures</t>
  </si>
  <si>
    <t>Moored current meter and hydrographic data from the Fram Strait Arctic Outflow Observatory since 2009</t>
  </si>
  <si>
    <t>https://data.npolar.no/dataset/c4d80b64-25f6-4afd-b392-696430c3fd14</t>
  </si>
  <si>
    <t>Ocean currents, hydrography, and water mass properties in the East Greenland Current (Fram Strait Arctic Outflow Observatory)</t>
  </si>
  <si>
    <t>Time series of ocean currents, temperature, salinity, and pressure from moored instruments in the East Greenland Current at 78°50′N</t>
  </si>
  <si>
    <t>Sea ice draft and sea ice and upper ocean velocity from mooring observations in the northwestern Barents Sea from 2018 onward</t>
  </si>
  <si>
    <t>https://data.npolar.no/dataset/c19e8a7d-bd2c-4e59-9d65-8cbdd19a3e1b</t>
  </si>
  <si>
    <t>Sea ice draft and drift velocity, ocean currents, and hydrography in the Barents Sea</t>
  </si>
  <si>
    <t>Data were collected in ensembles of 48 pings at 1-second intervals every 15 minutes, processed with tilt/sound speed/pressure corrections, and distributed in NetCDF and .mat formats</t>
  </si>
  <si>
    <t>A-TWAIN Physical Oceanography Mooring Data 2021-2022</t>
  </si>
  <si>
    <t>https://data.npolar.no/dataset/86ec6869-76c2-46f2-a8f2-8dfae84930e5</t>
  </si>
  <si>
    <t>Variability and trends of Atlantic Water inflow into the Arctic Ocean (Nansen Basin, north of the Barents Sea)</t>
  </si>
  <si>
    <t>Autonomous oceanographic sensors (CTDs and ADCPs) continuously collected time series data</t>
  </si>
  <si>
    <t>N-ICE2015 total absorption profiles from water column</t>
  </si>
  <si>
    <t>https://data.npolar.no/dataset/7dce5c52-2aef-55b2-8bc7-194996c5c888</t>
  </si>
  <si>
    <t>In-situ profiles of seawater optical absorption, hydrography, and nitrate concentration under ice</t>
  </si>
  <si>
    <t>collected coincident with SBE19+ CTD (temperature, salinity, depth) and ISUS nitrate sensor measurements</t>
  </si>
  <si>
    <t>N-ICE2015 ship-based conductivity-temperature-depth (CTD) data</t>
  </si>
  <si>
    <t>https://data.npolar.no/dataset/92262a9c-e6a4-59b5-9929-81c0429d7de6</t>
  </si>
  <si>
    <t>Hydrographic profiling: salinity, temperature, pressure, conductivity, sound velocity</t>
  </si>
  <si>
    <t>Includes corrected metadata (time, lat, lon, station numbers), and conductivity slope corrections adjusted based on deep bottle samples to achieve high-accuracy salinity</t>
  </si>
  <si>
    <t>dataset</t>
  </si>
  <si>
    <t>Sensors dataset</t>
  </si>
  <si>
    <t>https://figshare.com/articles/dataset/Sensors_dataset/20496243?file=38671832</t>
  </si>
  <si>
    <t>Blood pressure morphology assessment using photoplethysmography (PPG) and arterial blood pressure (ABP) waveforms</t>
  </si>
  <si>
    <t>Subset of the MIMIC-III Waveform Database Matched Subset. 5,821 PPG and ABP records from 1,196 subjects at 125 Hz. Each record reduced to two 15 s segments, 5 min apart</t>
  </si>
  <si>
    <t>Impact-Echo signals generated by hammer with different tip and handle type</t>
  </si>
  <si>
    <t>https://figshare.com/articles/dataset/Effect_of_Hammer_Type_on_Generated_Mechanical_Signals_in_Impact-Echo_Testing/13653284?file=26207933</t>
  </si>
  <si>
    <t>Impact-Echo technique applied to concrete test beams to analyse internal material properties and responses to mechanical impacts</t>
  </si>
  <si>
    <t>Includes variations in hammer tips, hammer handles, and applied forces</t>
  </si>
  <si>
    <t>Vibration Sensor Dataset for Estimating Fan Coil Motor Health</t>
  </si>
  <si>
    <t>https://figshare.com/articles/dataset/_i_Vibration_Sensor_Dataset_for_Estimating_Fan_Coil_Motor_Health_i_/25959403</t>
  </si>
  <si>
    <t>Continuous motor health monitoring for predictive maintenance and fault detection in fan coil motors.</t>
  </si>
  <si>
    <t>Engineering</t>
  </si>
  <si>
    <t>Consists of continuous vibration readings collected from a fan coil motor in a corporate environment</t>
  </si>
  <si>
    <t>Rapid Spatial Mapping of Focused Ultrasound Fields Using a Planar Fabry–Pérot Sensor</t>
  </si>
  <si>
    <t>https://figshare.com/articles/dataset/Rapid_Spatial_Mapping_of_Focused_Ultrasound_Fields_Using_a_Planar_Fabry_P_rot_Sensor/14217200</t>
  </si>
  <si>
    <t>Measurement of high acoustic pressures from a HIFU (High-Intensity Focused Ultrasound) transducer using a robust Fabry–Pérot (FP) optical sensor, validated against hydrophone and simulation (KZK)</t>
  </si>
  <si>
    <t>Measurements of acoustic fields generated by a 1.1 MHz spherical focusing HIFU transducer (H101, Sonic Concepts) in water</t>
  </si>
  <si>
    <t>https://figshare.com/articles/dataset/Data_from_A_field-scale_sensor_network_data_set_for_monitoring_and_modeling_the_spatial_and_temporal_variation_of_soil_moisture_in_a_dryland_agricultural_field/24852273?file=44335805</t>
  </si>
  <si>
    <t>Total</t>
  </si>
  <si>
    <t>Component</t>
  </si>
  <si>
    <t>IoT Device</t>
  </si>
  <si>
    <t>Sample</t>
  </si>
  <si>
    <t>Property</t>
  </si>
  <si>
    <t>Dataset Count</t>
  </si>
  <si>
    <t>resultTime</t>
  </si>
  <si>
    <t>No</t>
  </si>
  <si>
    <t>Description</t>
  </si>
  <si>
    <t>The source provides a downloadable data file</t>
  </si>
  <si>
    <t>A data file is required to verify the extracted elements by mapping each column to the corresponding element.</t>
  </si>
  <si>
    <t>The data are generated by IoT devices</t>
  </si>
  <si>
    <t>Only data generated by IoT devices are required, in line with the goal of verifying the common IoT schema.</t>
  </si>
  <si>
    <t>The source includes a data description</t>
  </si>
  <si>
    <t xml:space="preserve">A data description is essential for understanding the context and structure of the data file. It should specify the sensors or sensor types used, the objects measured, and definitions of all data fields, thereby ensuring accurate interpretation and effective use of the dataset. </t>
  </si>
  <si>
    <t>Sublink</t>
  </si>
  <si>
    <t>Data from: A field-scale sensor network data set for monitoring and modeling the spatial and temporal variation of soil moisture in a dryland agricultural field</t>
  </si>
  <si>
    <t>Data Schema Extracted from SOSA/SSN</t>
  </si>
  <si>
    <t>Row Labels</t>
  </si>
  <si>
    <t>Grand Total</t>
  </si>
  <si>
    <t>Count of Topic</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</si>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</sst>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b/>
      <sz val="12"/>
      <color theme="1"/>
      <name val="Aptos Narrow"/>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8">
    <border>
      <left/>
      <right/>
      <top/>
      <bottom/>
      <diagonal/>
    </border>
    <border>
      <left/>
      <right/>
      <top/>
      <bottom style="thin">
        <color theme="1"/>
      </bottom>
      <diagonal/>
    </border>
    <border>
      <left/>
      <right/>
      <top style="thin">
        <color theme="1"/>
      </top>
      <bottom/>
      <diagonal/>
    </border>
    <border>
      <left/>
      <right/>
      <top/>
      <bottom style="double">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s>
  <cellStyleXfs count="3">
    <xf numFmtId="0" fontId="0" fillId="0" borderId="0"/>
    <xf numFmtId="0" fontId="1" fillId="0" borderId="0" applyNumberFormat="0" applyFill="0" applyBorder="0" applyAlignment="0" applyProtection="0"/>
    <xf numFmtId="9" fontId="4" fillId="0" borderId="0" applyFont="0" applyFill="0" applyBorder="0" applyAlignment="0" applyProtection="0"/>
  </cellStyleXfs>
  <cellXfs count="32">
    <xf numFmtId="0" fontId="0" fillId="0" borderId="0" xfId="0"/>
    <xf numFmtId="14" fontId="0" fillId="0" borderId="0" xfId="0" applyNumberFormat="1"/>
    <xf numFmtId="0" fontId="1" fillId="0" borderId="0" xfId="1"/>
    <xf numFmtId="0" fontId="1" fillId="0" borderId="0" xfId="1" applyBorder="1"/>
    <xf numFmtId="0" fontId="2" fillId="0" borderId="0" xfId="0" applyFont="1"/>
    <xf numFmtId="0" fontId="1" fillId="0" borderId="0" xfId="0" applyFont="1"/>
    <xf numFmtId="0" fontId="0" fillId="0" borderId="0" xfId="0" applyAlignment="1">
      <alignment horizontal="center"/>
    </xf>
    <xf numFmtId="0" fontId="3" fillId="0" borderId="2" xfId="0" applyFont="1" applyBorder="1" applyAlignment="1">
      <alignment horizontal="center"/>
    </xf>
    <xf numFmtId="14" fontId="3" fillId="0" borderId="2" xfId="0" applyNumberFormat="1" applyFont="1" applyBorder="1" applyAlignment="1">
      <alignment horizontal="center"/>
    </xf>
    <xf numFmtId="0" fontId="0" fillId="0" borderId="2" xfId="0" applyBorder="1" applyAlignment="1">
      <alignment horizontal="left"/>
    </xf>
    <xf numFmtId="0" fontId="0" fillId="0" borderId="2" xfId="0" applyBorder="1"/>
    <xf numFmtId="14" fontId="0" fillId="0" borderId="2" xfId="0" applyNumberFormat="1" applyBorder="1"/>
    <xf numFmtId="0" fontId="0" fillId="0" borderId="0" xfId="0" applyAlignment="1">
      <alignment horizontal="left"/>
    </xf>
    <xf numFmtId="0" fontId="0" fillId="0" borderId="1" xfId="0" applyBorder="1" applyAlignment="1">
      <alignment horizontal="left"/>
    </xf>
    <xf numFmtId="0" fontId="0" fillId="0" borderId="1" xfId="0" applyBorder="1"/>
    <xf numFmtId="14" fontId="0" fillId="0" borderId="1" xfId="0" applyNumberFormat="1" applyBorder="1"/>
    <xf numFmtId="0" fontId="0" fillId="0" borderId="3" xfId="0" applyBorder="1" applyAlignment="1">
      <alignment horizontal="left"/>
    </xf>
    <xf numFmtId="0" fontId="0" fillId="0" borderId="3" xfId="0" applyBorder="1"/>
    <xf numFmtId="14" fontId="0" fillId="0" borderId="3" xfId="0" applyNumberFormat="1" applyBorder="1"/>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vertical="center" wrapText="1"/>
    </xf>
    <xf numFmtId="0" fontId="3" fillId="0" borderId="0" xfId="0" applyFont="1" applyAlignment="1">
      <alignment horizontal="center"/>
    </xf>
    <xf numFmtId="0" fontId="0" fillId="0" borderId="0" xfId="0" pivotButton="1"/>
    <xf numFmtId="0" fontId="0" fillId="0" borderId="0" xfId="0" applyAlignment="1">
      <alignment horizontal="right"/>
    </xf>
    <xf numFmtId="0" fontId="2" fillId="0" borderId="6" xfId="0" applyFont="1" applyBorder="1" applyAlignment="1">
      <alignment horizontal="center"/>
    </xf>
    <xf numFmtId="0" fontId="2" fillId="0" borderId="7" xfId="0" applyFont="1" applyBorder="1" applyAlignment="1">
      <alignment horizontal="center"/>
    </xf>
    <xf numFmtId="9" fontId="0" fillId="0" borderId="0" xfId="2" applyFont="1"/>
  </cellXfs>
  <cellStyles count="3">
    <cellStyle name="Hyperlink" xfId="1" builtinId="8"/>
    <cellStyle name="Normal" xfId="0" builtinId="0"/>
    <cellStyle name="Per cent" xfId="2" builtinId="5"/>
  </cellStyles>
  <dxfs count="14">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ertAlign val="baseline"/>
        <sz val="12"/>
        <color theme="10"/>
        <name val="Aptos Narrow"/>
        <family val="2"/>
        <scheme val="minor"/>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The Extracted Elements Verification</a:t>
            </a:r>
            <a:r>
              <a:rPr lang="en-US" sz="1600" b="1" baseline="0"/>
              <a:t> through Public Sensor Datasets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Analysis!$B$28</c:f>
              <c:strCache>
                <c:ptCount val="1"/>
                <c:pt idx="0">
                  <c:v>Dataset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Analysis!$A$29:$A$36</c:f>
              <c:strCache>
                <c:ptCount val="8"/>
                <c:pt idx="0">
                  <c:v>IoT Device</c:v>
                </c:pt>
                <c:pt idx="1">
                  <c:v>FeatureOfInterest</c:v>
                </c:pt>
                <c:pt idx="2">
                  <c:v>Property</c:v>
                </c:pt>
                <c:pt idx="3">
                  <c:v>Result</c:v>
                </c:pt>
                <c:pt idx="4">
                  <c:v>resultTime</c:v>
                </c:pt>
                <c:pt idx="5">
                  <c:v>Deployment</c:v>
                </c:pt>
                <c:pt idx="6">
                  <c:v>Sample</c:v>
                </c:pt>
                <c:pt idx="7">
                  <c:v>Platform</c:v>
                </c:pt>
              </c:strCache>
            </c:strRef>
          </c:cat>
          <c:val>
            <c:numRef>
              <c:f>Analysis!$B$29:$B$36</c:f>
              <c:numCache>
                <c:formatCode>General</c:formatCode>
                <c:ptCount val="8"/>
                <c:pt idx="0">
                  <c:v>69</c:v>
                </c:pt>
                <c:pt idx="1">
                  <c:v>69</c:v>
                </c:pt>
                <c:pt idx="2">
                  <c:v>69</c:v>
                </c:pt>
                <c:pt idx="3">
                  <c:v>69</c:v>
                </c:pt>
                <c:pt idx="4">
                  <c:v>67</c:v>
                </c:pt>
                <c:pt idx="5">
                  <c:v>45</c:v>
                </c:pt>
                <c:pt idx="6">
                  <c:v>33</c:v>
                </c:pt>
                <c:pt idx="7">
                  <c:v>16</c:v>
                </c:pt>
              </c:numCache>
            </c:numRef>
          </c:val>
          <c:extLst>
            <c:ext xmlns:c16="http://schemas.microsoft.com/office/drawing/2014/chart" uri="{C3380CC4-5D6E-409C-BE32-E72D297353CC}">
              <c16:uniqueId val="{00000000-727F-9848-9BA2-D16D44C25B93}"/>
            </c:ext>
          </c:extLst>
        </c:ser>
        <c:ser>
          <c:idx val="1"/>
          <c:order val="1"/>
          <c:tx>
            <c:strRef>
              <c:f>Analysis!$C$28</c:f>
              <c:strCache>
                <c:ptCount val="1"/>
                <c:pt idx="0">
                  <c:v>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Analysis!$A$29:$A$36</c:f>
              <c:strCache>
                <c:ptCount val="8"/>
                <c:pt idx="0">
                  <c:v>IoT Device</c:v>
                </c:pt>
                <c:pt idx="1">
                  <c:v>FeatureOfInterest</c:v>
                </c:pt>
                <c:pt idx="2">
                  <c:v>Property</c:v>
                </c:pt>
                <c:pt idx="3">
                  <c:v>Result</c:v>
                </c:pt>
                <c:pt idx="4">
                  <c:v>resultTime</c:v>
                </c:pt>
                <c:pt idx="5">
                  <c:v>Deployment</c:v>
                </c:pt>
                <c:pt idx="6">
                  <c:v>Sample</c:v>
                </c:pt>
                <c:pt idx="7">
                  <c:v>Platform</c:v>
                </c:pt>
              </c:strCache>
            </c:strRef>
          </c:cat>
          <c:val>
            <c:numRef>
              <c:f>Analysis!$C$29:$C$36</c:f>
              <c:numCache>
                <c:formatCode>0%</c:formatCode>
                <c:ptCount val="8"/>
                <c:pt idx="0">
                  <c:v>1</c:v>
                </c:pt>
                <c:pt idx="1">
                  <c:v>1</c:v>
                </c:pt>
                <c:pt idx="2">
                  <c:v>1</c:v>
                </c:pt>
                <c:pt idx="3">
                  <c:v>1</c:v>
                </c:pt>
                <c:pt idx="4">
                  <c:v>0.97101449275362317</c:v>
                </c:pt>
                <c:pt idx="5">
                  <c:v>0.65217391304347827</c:v>
                </c:pt>
                <c:pt idx="6">
                  <c:v>0.47826086956521741</c:v>
                </c:pt>
                <c:pt idx="7">
                  <c:v>0.2318840579710145</c:v>
                </c:pt>
              </c:numCache>
            </c:numRef>
          </c:val>
          <c:extLst>
            <c:ext xmlns:c16="http://schemas.microsoft.com/office/drawing/2014/chart" uri="{C3380CC4-5D6E-409C-BE32-E72D297353CC}">
              <c16:uniqueId val="{00000000-7A3E-4E4F-A81D-A4C5E26CC455}"/>
            </c:ext>
          </c:extLst>
        </c:ser>
        <c:dLbls>
          <c:dLblPos val="outEnd"/>
          <c:showLegendKey val="0"/>
          <c:showVal val="1"/>
          <c:showCatName val="0"/>
          <c:showSerName val="0"/>
          <c:showPercent val="0"/>
          <c:showBubbleSize val="0"/>
        </c:dLbls>
        <c:gapWidth val="219"/>
        <c:overlap val="-27"/>
        <c:axId val="1461628607"/>
        <c:axId val="1461652847"/>
      </c:barChart>
      <c:catAx>
        <c:axId val="14616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61652847"/>
        <c:crosses val="autoZero"/>
        <c:auto val="1"/>
        <c:lblAlgn val="ctr"/>
        <c:lblOffset val="100"/>
        <c:noMultiLvlLbl val="0"/>
      </c:catAx>
      <c:valAx>
        <c:axId val="1461652847"/>
        <c:scaling>
          <c:orientation val="minMax"/>
        </c:scaling>
        <c:delete val="1"/>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Dataset Count</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616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t>Validation of Extracted Ontological Elements through Public IoT Datasets</a:t>
            </a: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1"/>
          <c:order val="0"/>
          <c:tx>
            <c:strRef>
              <c:f>Analysis!$C$28</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Analysis!$A$29:$A$36</c:f>
              <c:strCache>
                <c:ptCount val="8"/>
                <c:pt idx="0">
                  <c:v>IoT Device</c:v>
                </c:pt>
                <c:pt idx="1">
                  <c:v>FeatureOfInterest</c:v>
                </c:pt>
                <c:pt idx="2">
                  <c:v>Property</c:v>
                </c:pt>
                <c:pt idx="3">
                  <c:v>Result</c:v>
                </c:pt>
                <c:pt idx="4">
                  <c:v>resultTime</c:v>
                </c:pt>
                <c:pt idx="5">
                  <c:v>Deployment</c:v>
                </c:pt>
                <c:pt idx="6">
                  <c:v>Sample</c:v>
                </c:pt>
                <c:pt idx="7">
                  <c:v>Platform</c:v>
                </c:pt>
              </c:strCache>
            </c:strRef>
          </c:cat>
          <c:val>
            <c:numRef>
              <c:f>Analysis!$C$29:$C$36</c:f>
              <c:numCache>
                <c:formatCode>0%</c:formatCode>
                <c:ptCount val="8"/>
                <c:pt idx="0">
                  <c:v>1</c:v>
                </c:pt>
                <c:pt idx="1">
                  <c:v>1</c:v>
                </c:pt>
                <c:pt idx="2">
                  <c:v>1</c:v>
                </c:pt>
                <c:pt idx="3">
                  <c:v>1</c:v>
                </c:pt>
                <c:pt idx="4">
                  <c:v>0.97101449275362317</c:v>
                </c:pt>
                <c:pt idx="5">
                  <c:v>0.65217391304347827</c:v>
                </c:pt>
                <c:pt idx="6">
                  <c:v>0.47826086956521741</c:v>
                </c:pt>
                <c:pt idx="7">
                  <c:v>0.2318840579710145</c:v>
                </c:pt>
              </c:numCache>
            </c:numRef>
          </c:val>
          <c:extLst>
            <c:ext xmlns:c16="http://schemas.microsoft.com/office/drawing/2014/chart" uri="{C3380CC4-5D6E-409C-BE32-E72D297353CC}">
              <c16:uniqueId val="{00000000-2AE3-E44F-AC60-F63795A988DE}"/>
            </c:ext>
          </c:extLst>
        </c:ser>
        <c:dLbls>
          <c:dLblPos val="outEnd"/>
          <c:showLegendKey val="0"/>
          <c:showVal val="1"/>
          <c:showCatName val="0"/>
          <c:showSerName val="0"/>
          <c:showPercent val="0"/>
          <c:showBubbleSize val="0"/>
        </c:dLbls>
        <c:gapWidth val="60"/>
        <c:overlap val="-27"/>
        <c:axId val="1461628607"/>
        <c:axId val="1461652847"/>
      </c:barChart>
      <c:catAx>
        <c:axId val="14616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61652847"/>
        <c:crosses val="autoZero"/>
        <c:auto val="1"/>
        <c:lblAlgn val="ctr"/>
        <c:lblOffset val="100"/>
        <c:noMultiLvlLbl val="0"/>
      </c:catAx>
      <c:valAx>
        <c:axId val="1461652847"/>
        <c:scaling>
          <c:orientation val="minMax"/>
        </c:scaling>
        <c:delete val="1"/>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Dataset Count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crossAx val="14616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[Publicly Available Sensor Data Collection.xlsx]Analysis!PivotTable1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600" b="1">
                <a:effectLst/>
              </a:rPr>
              <a:t>Distribution of Datasets Across Domains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Analysis!$A$2:$A$16</c:f>
              <c:strCache>
                <c:ptCount val="14"/>
                <c:pt idx="0">
                  <c:v>Aerospace</c:v>
                </c:pt>
                <c:pt idx="1">
                  <c:v>Animal</c:v>
                </c:pt>
                <c:pt idx="2">
                  <c:v>Physics</c:v>
                </c:pt>
                <c:pt idx="3">
                  <c:v>Smart Cities</c:v>
                </c:pt>
                <c:pt idx="4">
                  <c:v>Public Safety</c:v>
                </c:pt>
                <c:pt idx="5">
                  <c:v>Transportation</c:v>
                </c:pt>
                <c:pt idx="6">
                  <c:v>Mobile</c:v>
                </c:pt>
                <c:pt idx="7">
                  <c:v>Engineering</c:v>
                </c:pt>
                <c:pt idx="8">
                  <c:v>Manufacturing</c:v>
                </c:pt>
                <c:pt idx="9">
                  <c:v>Communication</c:v>
                </c:pt>
                <c:pt idx="10">
                  <c:v>Agriculture</c:v>
                </c:pt>
                <c:pt idx="11">
                  <c:v>Health</c:v>
                </c:pt>
                <c:pt idx="12">
                  <c:v>Robotics</c:v>
                </c:pt>
                <c:pt idx="13">
                  <c:v>Environment</c:v>
                </c:pt>
              </c:strCache>
            </c:strRef>
          </c:cat>
          <c:val>
            <c:numRef>
              <c:f>Analysis!$B$2:$B$16</c:f>
              <c:numCache>
                <c:formatCode>General</c:formatCode>
                <c:ptCount val="14"/>
                <c:pt idx="0">
                  <c:v>1</c:v>
                </c:pt>
                <c:pt idx="1">
                  <c:v>1</c:v>
                </c:pt>
                <c:pt idx="2">
                  <c:v>1</c:v>
                </c:pt>
                <c:pt idx="3">
                  <c:v>1</c:v>
                </c:pt>
                <c:pt idx="4">
                  <c:v>1</c:v>
                </c:pt>
                <c:pt idx="5">
                  <c:v>2</c:v>
                </c:pt>
                <c:pt idx="6">
                  <c:v>2</c:v>
                </c:pt>
                <c:pt idx="7">
                  <c:v>2</c:v>
                </c:pt>
                <c:pt idx="8">
                  <c:v>2</c:v>
                </c:pt>
                <c:pt idx="9">
                  <c:v>3</c:v>
                </c:pt>
                <c:pt idx="10">
                  <c:v>4</c:v>
                </c:pt>
                <c:pt idx="11">
                  <c:v>9</c:v>
                </c:pt>
                <c:pt idx="12">
                  <c:v>9</c:v>
                </c:pt>
                <c:pt idx="13">
                  <c:v>31</c:v>
                </c:pt>
              </c:numCache>
            </c:numRef>
          </c:val>
          <c:extLst>
            <c:ext xmlns:c16="http://schemas.microsoft.com/office/drawing/2014/chart" uri="{C3380CC4-5D6E-409C-BE32-E72D297353CC}">
              <c16:uniqueId val="{00000000-CF23-9D47-BA68-D1FEC65F0BCA}"/>
            </c:ext>
          </c:extLst>
        </c:ser>
        <c:dLbls>
          <c:dLblPos val="outEnd"/>
          <c:showLegendKey val="0"/>
          <c:showVal val="1"/>
          <c:showCatName val="0"/>
          <c:showSerName val="0"/>
          <c:showPercent val="0"/>
          <c:showBubbleSize val="0"/>
        </c:dLbls>
        <c:gapWidth val="182"/>
        <c:axId val="25666703"/>
        <c:axId val="43149071"/>
      </c:barChart>
      <c:catAx>
        <c:axId val="2566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3149071"/>
        <c:crosses val="autoZero"/>
        <c:auto val="1"/>
        <c:lblAlgn val="ctr"/>
        <c:lblOffset val="100"/>
        <c:noMultiLvlLbl val="0"/>
      </c:catAx>
      <c:valAx>
        <c:axId val="4314907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Dataset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566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12700</xdr:colOff>
      <xdr:row>27</xdr:row>
      <xdr:rowOff>184150</xdr:rowOff>
    </xdr:from>
    <xdr:to>
      <xdr:col>12</xdr:col>
      <xdr:colOff>723900</xdr:colOff>
      <xdr:row>54</xdr:row>
      <xdr:rowOff>63500</xdr:rowOff>
    </xdr:to>
    <xdr:graphicFrame macro="">
      <xdr:nvGraphicFramePr>
        <xdr:cNvPr id="2" name="Chart 1">
          <a:extLst>
            <a:ext uri="{FF2B5EF4-FFF2-40B4-BE49-F238E27FC236}">
              <a16:creationId xmlns:a16="http://schemas.microsoft.com/office/drawing/2014/main" id="{6E29D993-E4D3-FC9D-6F15-5FEC49962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13</xdr:col>
      <xdr:colOff>0</xdr:colOff>
      <xdr:row>54</xdr:row>
      <xdr:rowOff>0</xdr:rowOff>
    </xdr:to>
    <xdr:graphicFrame macro="">
      <xdr:nvGraphicFramePr>
        <xdr:cNvPr id="4" name="Chart 3">
          <a:extLst>
            <a:ext uri="{FF2B5EF4-FFF2-40B4-BE49-F238E27FC236}">
              <a16:creationId xmlns:a16="http://schemas.microsoft.com/office/drawing/2014/main" id="{13405631-2E59-6E96-99B3-1E8C5741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0</xdr:row>
      <xdr:rowOff>0</xdr:rowOff>
    </xdr:from>
    <xdr:to>
      <xdr:col>12</xdr:col>
      <xdr:colOff>812800</xdr:colOff>
      <xdr:row>23</xdr:row>
      <xdr:rowOff>12700</xdr:rowOff>
    </xdr:to>
    <xdr:graphicFrame macro="">
      <xdr:nvGraphicFramePr>
        <xdr:cNvPr id="3" name="Chart 2">
          <a:extLst>
            <a:ext uri="{FF2B5EF4-FFF2-40B4-BE49-F238E27FC236}">
              <a16:creationId xmlns:a16="http://schemas.microsoft.com/office/drawing/2014/main" id="{DD5C69F8-0390-20F8-7383-50FDE661B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in Su" refreshedDate="45957.686995138887" createdVersion="8" refreshedVersion="8" minRefreshableVersion="3" recordCount="69" xr:uid="{E45661E0-155E-A04E-9D04-6FA5786A1D8D}">
  <cacheSource type="worksheet">
    <worksheetSource name="Table14"/>
  </cacheSource>
  <cacheFields count="14">
    <cacheField name="DatasetNo" numFmtId="0">
      <sharedItems containsSemiMixedTypes="0" containsString="0" containsNumber="1" containsInteger="1" minValue="1" maxValue="69"/>
    </cacheField>
    <cacheField name="Industry" numFmtId="0">
      <sharedItems count="14">
        <s v="Communication"/>
        <s v="Health"/>
        <s v="Agriculture"/>
        <s v="Aerospace"/>
        <s v="Environment"/>
        <s v="Mobile"/>
        <s v="Manufacturing"/>
        <s v="Robotics"/>
        <s v="Animal"/>
        <s v="Smart Cities"/>
        <s v="Public Safety"/>
        <s v="Physics"/>
        <s v="Transportation"/>
        <s v="Engineering"/>
      </sharedItems>
    </cacheField>
    <cacheField name="Topic" numFmtId="0">
      <sharedItems/>
    </cacheField>
    <cacheField name="Content" numFmtId="0">
      <sharedItems longText="1"/>
    </cacheField>
    <cacheField name="SourcePlatform" numFmtId="0">
      <sharedItems/>
    </cacheField>
    <cacheField name="Website" numFmtId="0">
      <sharedItems/>
    </cacheField>
    <cacheField name="IoT Device" numFmtId="0">
      <sharedItems containsSemiMixedTypes="0" containsString="0" containsNumber="1" containsInteger="1" minValue="1" maxValue="1"/>
    </cacheField>
    <cacheField name="Sample" numFmtId="0">
      <sharedItems containsString="0" containsBlank="1" containsNumber="1" containsInteger="1" minValue="1" maxValue="1"/>
    </cacheField>
    <cacheField name="FeatureOfInterest" numFmtId="0">
      <sharedItems containsSemiMixedTypes="0" containsString="0" containsNumber="1" containsInteger="1" minValue="1" maxValue="1"/>
    </cacheField>
    <cacheField name="Property" numFmtId="0">
      <sharedItems containsSemiMixedTypes="0" containsString="0" containsNumber="1" containsInteger="1" minValue="1" maxValue="1"/>
    </cacheField>
    <cacheField name="Result" numFmtId="0">
      <sharedItems containsSemiMixedTypes="0" containsString="0" containsNumber="1" containsInteger="1" minValue="1" maxValue="1"/>
    </cacheField>
    <cacheField name="Platform" numFmtId="0">
      <sharedItems containsString="0" containsBlank="1" containsNumber="1" containsInteger="1" minValue="1" maxValue="1"/>
    </cacheField>
    <cacheField name="Deployment" numFmtId="0">
      <sharedItems containsString="0" containsBlank="1" containsNumber="1" containsInteger="1" minValue="1" maxValue="1"/>
    </cacheField>
    <cacheField name="resultTime"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n v="1"/>
    <x v="0"/>
    <s v="Optimized route planning for scientific UAV missions"/>
    <s v="It integrates UAV telemetry with wireless network performance (srsRAN SDR + iperf) and flight state logs to support experiments in optimized UAV route planning."/>
    <s v="Dryad Digital Repository"/>
    <s v="https://datadryad.org/dataset/doi:10.5061/dryad.0gb5mkm8d"/>
    <n v="1"/>
    <n v="1"/>
    <n v="1"/>
    <n v="1"/>
    <n v="1"/>
    <m/>
    <n v="1"/>
    <n v="1"/>
  </r>
  <r>
    <n v="2"/>
    <x v="0"/>
    <s v="LoRaWAN gateway performance"/>
    <s v="It evaluates the performance of LoRaWAN gateways by analyzing received telemetry data from a moving vehicle (i.e., helikite). Key metrics include Received Signal Strength Indicator (RSSI), Signal-to-Noise Ratio (SNR), transmission timestamps, and geographic data."/>
    <s v="Dryad Digital Repository"/>
    <s v="https://datadryad.org/dataset/doi:10.5061/dryad.w0vt4b939#readme"/>
    <n v="1"/>
    <m/>
    <n v="1"/>
    <n v="1"/>
    <n v="1"/>
    <m/>
    <n v="1"/>
    <n v="1"/>
  </r>
  <r>
    <n v="3"/>
    <x v="0"/>
    <s v="Aerial Measurements from Outdoor 2.4GHz 802.15.4 Network"/>
    <s v="Signal strength and reception rate of packets"/>
    <s v="Dryad Digital Repository"/>
    <s v="https://datadryad.org/dataset/doi:10.25349/D9KS3W"/>
    <n v="1"/>
    <m/>
    <n v="1"/>
    <n v="1"/>
    <n v="1"/>
    <m/>
    <n v="1"/>
    <n v="1"/>
  </r>
  <r>
    <n v="4"/>
    <x v="1"/>
    <s v="Stress detection using wearable biometric signals and contextual surveys"/>
    <s v="A dataset of 15 nurses collected during the COVID-19 outbreak in a natural hospital work environment. It includes continuous biometric sensor signals (EDA, HR, TEMP, IBI, BVP, ACC) from wearable devices, contextual event tagging, and periodic smartphone-based stress surveys with stress levels and contributing factors."/>
    <s v="Dryad Digital Repository"/>
    <s v="https://datadryad.org/dataset/doi:10.5061/dryad.5hqbzkh6f#usage"/>
    <n v="1"/>
    <n v="1"/>
    <n v="1"/>
    <n v="1"/>
    <n v="1"/>
    <n v="1"/>
    <n v="1"/>
    <n v="1"/>
  </r>
  <r>
    <n v="5"/>
    <x v="1"/>
    <s v="Human gait under non-standardized dual-task walking (normal, holding a water cup, texting, browsing the web), with repeated sessions and segmented phases (go, back, turn)"/>
    <s v="23 participants × 2 sessions × 4 tasks. Folders: Raw (MOCAP, Kinect, IMU, Timestamp), Processed (segmented by sensor, session, phase, task), and Parameters (spatio-temporal &amp; kinematic features). Demographics provided; data de-identified"/>
    <s v="Dryad Digital Repository"/>
    <s v="https://datadryad.org/dataset/doi:10.5061/dryad.2rbnzs7z3#readme"/>
    <n v="1"/>
    <n v="1"/>
    <n v="1"/>
    <n v="1"/>
    <n v="1"/>
    <n v="1"/>
    <n v="1"/>
    <n v="1"/>
  </r>
  <r>
    <n v="6"/>
    <x v="1"/>
    <s v="Multi-modal 3D human pose estimation dataset, fusing radar, IMU, and RGB-D data across 20 subjects"/>
    <s v="40 RGB videos, raw data: imu, radar, annotations, timestamps, video labels."/>
    <s v="Dryad Digital Repository"/>
    <s v="https://datadryad.org/dataset/doi:10.5061/dryad.9ghx3ffpp"/>
    <n v="1"/>
    <n v="1"/>
    <n v="1"/>
    <n v="1"/>
    <n v="1"/>
    <m/>
    <n v="1"/>
    <n v="1"/>
  </r>
  <r>
    <n v="7"/>
    <x v="2"/>
    <s v="Soil moisture monitoring dataset, used to study mutual-information-based virtual sensor prediction"/>
    <s v="VWC readings"/>
    <s v="Zenodo"/>
    <s v="https://zenodo.org/records/16811020"/>
    <n v="1"/>
    <m/>
    <n v="1"/>
    <n v="1"/>
    <n v="1"/>
    <m/>
    <n v="1"/>
    <n v="1"/>
  </r>
  <r>
    <n v="8"/>
    <x v="3"/>
    <s v="Drone flight telemetry and state classification. Trajectory prediction and multi-task learning with sensor data"/>
    <s v="Time series dataset of multiple drone flights using a DJI Matrice 300 (M300). Includes unique flight IDs, timestamps, position, orientation, velocity, acceleration, battery status, payload type, weather conditions, and drone states (IDLE_HOVER, ASCEND, TURN, HMSL, DESCEND). Designed for trajectory prediction, classification, and UAV control research under different flight patterns (triangular, square, polygonal, random)."/>
    <s v="Zenodo"/>
    <s v="https://zenodo.org/records/7643456"/>
    <n v="1"/>
    <n v="1"/>
    <n v="1"/>
    <n v="1"/>
    <n v="1"/>
    <m/>
    <n v="1"/>
    <n v="1"/>
  </r>
  <r>
    <n v="9"/>
    <x v="4"/>
    <s v="Adões - Multimodal robotic sensor dataset in a forest scenario. Trajectory recording, perception, and localization for robotic research."/>
    <s v="Contains synchronized multi-sensor recordings (LiDAR, stereo + RGB-D cameras, IMU, GNSS)"/>
    <s v="Zenodo"/>
    <s v="https://zenodo.org/records/13757335"/>
    <n v="1"/>
    <m/>
    <n v="1"/>
    <n v="1"/>
    <n v="1"/>
    <n v="1"/>
    <n v="1"/>
    <n v="1"/>
  </r>
  <r>
    <n v="10"/>
    <x v="4"/>
    <s v="iParque - Multimodal robotic sensor dataset in a forest scenario. Trajectory recording, perception, and localization for robotic research."/>
    <s v="Contains synchronized multi-sensor recordings (LiDAR, stereo + RGB-D cameras, IMU, GNSS)"/>
    <s v="Zenodo"/>
    <s v="https://zenodo.org/records/13757084"/>
    <n v="1"/>
    <m/>
    <n v="1"/>
    <n v="1"/>
    <n v="1"/>
    <n v="1"/>
    <n v="1"/>
    <n v="1"/>
  </r>
  <r>
    <n v="11"/>
    <x v="5"/>
    <s v="Raw GNSS and multi-sensor dataset from Android devices"/>
    <s v="Data collected with an Android app called Mimir (and GNSSLogger for some sessions), across five devices"/>
    <s v="Zenodo"/>
    <s v="https://zenodo.org/records/8340005"/>
    <n v="1"/>
    <m/>
    <n v="1"/>
    <n v="1"/>
    <n v="1"/>
    <n v="1"/>
    <n v="1"/>
    <n v="1"/>
  </r>
  <r>
    <n v="12"/>
    <x v="1"/>
    <s v="Tactile sensing of human hand during activities of daily living (ADL)"/>
    <s v="raw &amp; interpolated pressure values, grip force, contribution of 18 sensing regions, synchronization indices among subjects"/>
    <s v="Zenodo"/>
    <s v="https://zenodo.org/records/4607289"/>
    <n v="1"/>
    <n v="1"/>
    <n v="1"/>
    <n v="1"/>
    <n v="1"/>
    <n v="1"/>
    <m/>
    <n v="1"/>
  </r>
  <r>
    <n v="13"/>
    <x v="6"/>
    <s v="Driving posture recognition using pressure sensors"/>
    <s v="30 healthy adults with varying BMI, height, weight, 20 distinct driving postures"/>
    <s v="Zenodo"/>
    <s v="https://zenodo.org/records/15199100"/>
    <n v="1"/>
    <n v="1"/>
    <n v="1"/>
    <n v="1"/>
    <n v="1"/>
    <m/>
    <m/>
    <m/>
  </r>
  <r>
    <n v="14"/>
    <x v="4"/>
    <s v="UAV telemetry dataset with labeled states and environmental factors"/>
    <s v="The dataset is directly collected from drone-integrated sensors (IMU, GNSS, flight controller) and an external TriSonica Mini weather sensor."/>
    <s v="Zenodo"/>
    <s v="https://zenodo.org/records/13682870"/>
    <n v="1"/>
    <m/>
    <n v="1"/>
    <n v="1"/>
    <n v="1"/>
    <m/>
    <m/>
    <n v="1"/>
  </r>
  <r>
    <n v="15"/>
    <x v="2"/>
    <s v="Monitoring cotton crop growth and field conditions, combining sowing, acreage, geolocation, and sensor-based data for agricultural decision-making"/>
    <s v="Includes crop details (type, sowing date, acreage, location, coordinates, monitoring date, device ID)"/>
    <s v="Zenodo"/>
    <s v="https://zenodo.org/records/8371502"/>
    <n v="1"/>
    <n v="1"/>
    <n v="1"/>
    <n v="1"/>
    <n v="1"/>
    <m/>
    <n v="1"/>
    <n v="1"/>
  </r>
  <r>
    <n v="16"/>
    <x v="7"/>
    <s v="Landing maneuvers of a bioinspired ornithopter"/>
    <s v="Data was collected from simulated onboard sensors during bioinspired landing maneuvers."/>
    <s v="Zenodo"/>
    <s v="https://zenodo.org/records/3930442"/>
    <n v="1"/>
    <n v="1"/>
    <n v="1"/>
    <n v="1"/>
    <n v="1"/>
    <m/>
    <n v="1"/>
    <n v="1"/>
  </r>
  <r>
    <n v="17"/>
    <x v="8"/>
    <s v="Standardized benchmark for evaluating behavior classification models from multi-sensor datasets"/>
    <s v="Onboard wearable sensors and animal-borne sensors (e.g., accelerometers, gyroscopes) used to capture behavior/activity signals"/>
    <s v="Zenodo"/>
    <s v="https://zenodo.org/records/10982620"/>
    <n v="1"/>
    <n v="1"/>
    <n v="1"/>
    <n v="1"/>
    <n v="1"/>
    <m/>
    <m/>
    <n v="1"/>
  </r>
  <r>
    <n v="18"/>
    <x v="2"/>
    <s v="Multi-modal monitoring of honeybee colonies with environmental sensors and phenotypic trait"/>
    <s v="Includes temperature, humidity, and acoustic features from sensors placed in beehives."/>
    <s v="Zenodo"/>
    <s v="https://zenodo.org/records/11398835"/>
    <n v="1"/>
    <n v="1"/>
    <n v="1"/>
    <n v="1"/>
    <n v="1"/>
    <m/>
    <n v="1"/>
    <n v="1"/>
  </r>
  <r>
    <n v="19"/>
    <x v="4"/>
    <s v="Temperature-modulated metal-oxide gas sensing"/>
    <s v="VOC concentrations (ppb), humidity, CO, H₂, TVOCs (ppb + µg/m³), and timestamps"/>
    <s v="Zenodo"/>
    <s v="https://zenodo.org/records/4593853"/>
    <n v="1"/>
    <n v="1"/>
    <n v="1"/>
    <n v="1"/>
    <n v="1"/>
    <m/>
    <m/>
    <n v="1"/>
  </r>
  <r>
    <n v="20"/>
    <x v="5"/>
    <s v="Multimodal sensor dataset for GNSS-based positioning and context detection"/>
    <s v="GNSS raw measurements &amp; position fixes, Accelerometer, Gyroscope, Magnetometer, Barometer, Step counter / step detector"/>
    <s v="Zenodo"/>
    <s v="https://zenodo.org/records/12566912"/>
    <n v="1"/>
    <n v="1"/>
    <n v="1"/>
    <n v="1"/>
    <n v="1"/>
    <n v="1"/>
    <n v="1"/>
    <n v="1"/>
  </r>
  <r>
    <n v="21"/>
    <x v="1"/>
    <s v="Remote patient monitoring"/>
    <s v="The dataset was collected using wearable and ambient IoT sensors (acceleration, heart rate, motion, position, sleep, steps)"/>
    <s v="Zenodo"/>
    <s v="https://zenodo.org/records/14911563"/>
    <n v="1"/>
    <n v="1"/>
    <n v="1"/>
    <n v="1"/>
    <n v="1"/>
    <m/>
    <n v="1"/>
    <n v="1"/>
  </r>
  <r>
    <n v="22"/>
    <x v="7"/>
    <s v="Multisensor benchmarking dataset for image recognition"/>
    <s v="It uses imaging IoT sensors (hyperspectral camera, Kinect depth sensor, HD camera on a mobile robotic chassis) to capture multimodal data (images, spectra, and 3D point clouds)"/>
    <s v="Zenodo"/>
    <s v="https://zenodo.org/records/4010348"/>
    <n v="1"/>
    <n v="1"/>
    <n v="1"/>
    <n v="1"/>
    <n v="1"/>
    <n v="1"/>
    <m/>
    <m/>
  </r>
  <r>
    <n v="23"/>
    <x v="7"/>
    <s v="Sequential human-to-human object handovers in shelving and unshelving tasks"/>
    <s v="Includes multimodal recordings: RGB video, depth maps, 3D motion capture (bones + markers), and anthropometric measurements."/>
    <s v="Zenodo"/>
    <s v="https://zenodo.org/records/7895500"/>
    <n v="1"/>
    <n v="1"/>
    <n v="1"/>
    <n v="1"/>
    <n v="1"/>
    <n v="1"/>
    <n v="1"/>
    <n v="1"/>
  </r>
  <r>
    <n v="24"/>
    <x v="9"/>
    <s v="Quantitative evaluation of urban behavioral changes after a disaster event (2015 Paris terrorist attacks)"/>
    <s v="Permanent traffic sensors installed on the Paris city road network"/>
    <s v="Zenodo"/>
    <s v="https://zenodo.org/records/819905"/>
    <n v="1"/>
    <m/>
    <n v="1"/>
    <n v="1"/>
    <n v="1"/>
    <n v="1"/>
    <m/>
    <n v="1"/>
  </r>
  <r>
    <n v="25"/>
    <x v="7"/>
    <s v="Multimodal dataset for fusion of sonar and camera data to improve obstacle detection and navigation in AUVs"/>
    <s v="It uses underwater IoT sensing devices: a forward-looking sonar (FLS), forward-looking camera (FLC), and navigation sensors (GPS, DVL, IMU)"/>
    <s v="Zenodo"/>
    <s v="https://zenodo.org/records/10544811"/>
    <n v="1"/>
    <m/>
    <n v="1"/>
    <n v="1"/>
    <n v="1"/>
    <m/>
    <n v="1"/>
    <n v="1"/>
  </r>
  <r>
    <n v="26"/>
    <x v="7"/>
    <s v="Dataset for robot navigation and perception using multimodal sensors"/>
    <s v="It uses robot-mounted IoT sensors (LiDAR, IMU, RGB camera) integrated into the Unitree Go1 quadruped robot platform"/>
    <s v="Zenodo"/>
    <s v="https://zenodo.org/records/13754606"/>
    <n v="1"/>
    <m/>
    <n v="1"/>
    <n v="1"/>
    <n v="1"/>
    <n v="1"/>
    <n v="1"/>
    <n v="1"/>
  </r>
  <r>
    <n v="27"/>
    <x v="7"/>
    <s v="Obstacle detection and navigation in tropical underwater environments"/>
    <s v="It uses underwater IoT sensors (forward-looking camera, forward-looking sonar, depth sensor) mounted on the Blue-ROV2"/>
    <s v="Zenodo"/>
    <s v="https://zenodo.org/records/12093143"/>
    <n v="1"/>
    <m/>
    <n v="1"/>
    <n v="1"/>
    <n v="1"/>
    <m/>
    <n v="1"/>
    <n v="1"/>
  </r>
  <r>
    <n v="28"/>
    <x v="7"/>
    <s v="Dataset for multimodal robot perception using LiDAR, IMU, and camera streams"/>
    <s v="Dataset for multimodal robot perception using LiDAR, IMU, and camera streams"/>
    <s v="Zenodo"/>
    <s v="https://zenodo.org/records/13754446"/>
    <n v="1"/>
    <m/>
    <n v="1"/>
    <n v="1"/>
    <n v="1"/>
    <m/>
    <m/>
    <n v="1"/>
  </r>
  <r>
    <n v="29"/>
    <x v="7"/>
    <s v="Dataset for localisation and positioning under challenging conditions"/>
    <s v="It uses multiple wearable and body-mounted IoT sensors (GNSS, IMU, stereo camera, PERSY foot-mounted system) to record positioning and movement data"/>
    <s v="Zenodo"/>
    <s v="https://zenodo.org/records/4290789"/>
    <n v="1"/>
    <m/>
    <n v="1"/>
    <n v="1"/>
    <n v="1"/>
    <m/>
    <n v="1"/>
    <n v="1"/>
  </r>
  <r>
    <n v="30"/>
    <x v="6"/>
    <s v="Dataset for analysing thermal effects and structural deformations in a large-scale CNC machining centre"/>
    <s v="It integrates structural IoT sensors (IDS bars, thermocouples) and embedded CNC machine sensors (positions, loads, power, temperatures)"/>
    <s v="Zenodo"/>
    <s v="https://zenodo.org/records/16579804"/>
    <n v="1"/>
    <m/>
    <n v="1"/>
    <n v="1"/>
    <n v="1"/>
    <m/>
    <m/>
    <n v="1"/>
  </r>
  <r>
    <n v="31"/>
    <x v="7"/>
    <s v="An annotated underwater pipeline inspection dataset"/>
    <s v="It uses IoT-enabled sensing on an AUV, including cameras, side-scan sonar, and inertial navigation sensors"/>
    <s v="Zenodo"/>
    <s v="https://zenodo.org/records/12666132"/>
    <n v="1"/>
    <m/>
    <n v="1"/>
    <n v="1"/>
    <n v="1"/>
    <m/>
    <m/>
    <n v="1"/>
  </r>
  <r>
    <n v="32"/>
    <x v="10"/>
    <s v="Life-sign detection (breathing rate) behind walls using UWB radar"/>
    <s v="Includes human presence (standing, lying) and no-human control sessions"/>
    <s v="Zenodo"/>
    <s v="https://zenodo.org/records/10779256"/>
    <n v="1"/>
    <m/>
    <n v="1"/>
    <n v="1"/>
    <n v="1"/>
    <m/>
    <n v="1"/>
    <n v="1"/>
  </r>
  <r>
    <n v="33"/>
    <x v="11"/>
    <s v="Experimental validation of a gravity propulsion engine within the Simplified Theory of Everything (STOE) and Gluon Orbit Theory"/>
    <s v="Real-time physical measurements from a USB optical sensor, combined with AI-based signal interpretation and simulation outputs"/>
    <s v="Zenodo"/>
    <s v="https://zenodo.org/records/15569226"/>
    <n v="1"/>
    <m/>
    <n v="1"/>
    <n v="1"/>
    <n v="1"/>
    <m/>
    <m/>
    <n v="1"/>
  </r>
  <r>
    <n v="34"/>
    <x v="4"/>
    <s v="Long-term marine IoT dataset for environmental monitoring and IoT system security"/>
    <s v="Includes environmental data + operational/communication metrics + spoofing labels for security research"/>
    <s v="Zenodo"/>
    <s v="https://zenodo.org/records/15553598"/>
    <n v="1"/>
    <m/>
    <n v="1"/>
    <n v="1"/>
    <n v="1"/>
    <m/>
    <m/>
    <n v="1"/>
  </r>
  <r>
    <n v="35"/>
    <x v="12"/>
    <s v="Magnetic field signals from vehicles entering/exiting a facility"/>
    <s v="It uses a spintronic magnetic field sensor deployed at an entrance gate to capture real-world vehicle passage signals"/>
    <s v="Zenodo"/>
    <s v="https://zenodo.org/records/15475624"/>
    <n v="1"/>
    <m/>
    <n v="1"/>
    <n v="1"/>
    <n v="1"/>
    <m/>
    <m/>
    <n v="1"/>
  </r>
  <r>
    <n v="36"/>
    <x v="1"/>
    <s v="Human behaviour analysis from multimodal inertial wearables; activity recognition (standing, walking, stand→sit) and fall-detection benchmarking"/>
    <s v="Captured by wearable Shimmer3 inertial sensors (accelerometer + gyroscope) mounted at the waist, logging at 50 Hz with timestamped readings"/>
    <s v="Harvard Dataverse"/>
    <s v="https://dataverse.harvard.edu/dataset.xhtml?persistentId=doi:10.7910/DVN/6CKENX"/>
    <n v="1"/>
    <n v="1"/>
    <n v="1"/>
    <n v="1"/>
    <n v="1"/>
    <n v="1"/>
    <n v="1"/>
    <n v="1"/>
  </r>
  <r>
    <n v="37"/>
    <x v="1"/>
    <s v="Sign language recognition dataset — gestures corresponding to 26 alphabet letters (A–Z) and 10 digits (1–10)"/>
    <s v="Using 5 flex sensors connected to an Arduino ATMega microcontroller, producing digitised signals (0–1023)"/>
    <s v="Harvard Dataverse"/>
    <s v="https://dataverse.harvard.edu/dataset.xhtml?persistentId=doi:10.7910/DVN/ODY7GH"/>
    <n v="1"/>
    <n v="1"/>
    <n v="1"/>
    <n v="1"/>
    <n v="1"/>
    <m/>
    <m/>
    <n v="1"/>
  </r>
  <r>
    <n v="38"/>
    <x v="12"/>
    <s v="Detection and classification of rash driving patterns using smartphone IMU signals"/>
    <s v="Data was collected by a smartphone’s built-in IMU sensors (accelerometer + gyroscope) running the Sensor Logger Android app, which qualifies as an IoT data source"/>
    <s v="Open Science Framework"/>
    <s v="https://osf.io/4g87c/"/>
    <n v="1"/>
    <n v="1"/>
    <n v="1"/>
    <n v="1"/>
    <n v="1"/>
    <n v="1"/>
    <n v="1"/>
    <n v="1"/>
  </r>
  <r>
    <n v="39"/>
    <x v="4"/>
    <s v="Conductivity-Temperature-Depth (CTD) profiles and auxiliary oceanographic measurements in Arctic fjords (Kongsfjorden and Rijpfjorden)"/>
    <s v="Data include temperature, conductivity, salinity, fluorescence (calibrated with bottle chlorophyll samples), dissolved oxygen (uncalibrated), CDOM fluorescence, beam attenuation, PAR/SPAR, and turbidity"/>
    <s v="FAIRsharing.org - Norwegian Polar Data Centre"/>
    <s v="https://data.npolar.no/dataset/7414766f-c05d-4360-b08e-ee03bf874086"/>
    <n v="1"/>
    <m/>
    <n v="1"/>
    <n v="1"/>
    <n v="1"/>
    <m/>
    <m/>
    <n v="1"/>
  </r>
  <r>
    <n v="40"/>
    <x v="4"/>
    <s v="Sea ice dynamics, thermodynamics, and snow/ice interactions during the N-ICE2015 expedition north of Svalbard"/>
    <s v="This dataset contains GPS positions and sensor data from 42 buoys deployed in two arrays (winter and spring 2015) as part of the N-ICE2015 expedition. The buoys recorded sea ice drift, snow depth, ice thickness, temperature profiles, stress, radiation, and wave data."/>
    <s v="FAIRsharing.org - Norwegian Polar Data Centre"/>
    <s v="https://data.npolar.no/dataset/6ed9a8ca-95b0-43be-bedf-8176bf56da80"/>
    <n v="1"/>
    <m/>
    <n v="1"/>
    <n v="1"/>
    <n v="1"/>
    <m/>
    <n v="1"/>
    <n v="1"/>
  </r>
  <r>
    <n v="41"/>
    <x v="4"/>
    <s v="CTD profiles of hydrographic and biogeochemical parameters from the Fram Strait (Arctic Ocean)"/>
    <s v="Include temperature, conductivity, practical salinity (EOS-80), dissolved oxygen, chlorophyll fluorescence, CDOM fluorescence, and beam attenuation, all binned at 1 dbar vertical resolution"/>
    <s v="FAIRsharing.org - Norwegian Polar Data Centre"/>
    <s v="https://data.npolar.no/dataset/9605165a-bcb0-45e4-9fe6-fccaf7956578/file"/>
    <n v="1"/>
    <n v="1"/>
    <n v="1"/>
    <n v="1"/>
    <n v="1"/>
    <m/>
    <n v="1"/>
    <n v="1"/>
  </r>
  <r>
    <n v="42"/>
    <x v="4"/>
    <s v="Hydrographic and biogeochemical profiles from the Nansen Basin and north of Svalbard, collected during Arctic Ocean 2023 – 2 expedition"/>
    <s v="It includes temperature, conductivity, salinity (EOS-80), uncalibrated dissolved oxygen, chlorophyll fluorescence (calibrated), CDOM fluorescence (voltage only), and beam attenuation, all binned at 1 dbar resolution"/>
    <s v="FAIRsharing.org - Norwegian Polar Data Centre"/>
    <s v="https://data.npolar.no/dataset/7b5b8509-62f2-4b3b-b5a8-af94e27551d5"/>
    <n v="1"/>
    <n v="1"/>
    <n v="1"/>
    <n v="1"/>
    <n v="1"/>
    <m/>
    <n v="1"/>
    <n v="1"/>
  </r>
  <r>
    <n v="43"/>
    <x v="4"/>
    <s v="Subsurface temperature evolution in firn/ice at Austfonna ice cap (Svalbard) over a 13-year period"/>
    <s v="This dataset contains subsurface temperature data collected at site Camp (773 m a.s.l.) on Austfonna ice cap, Svalbard, 2009–2022, monitored by the Norwegian Polar Institute and University of Oslo"/>
    <s v="FAIRsharing.org - Norwegian Polar Data Centre"/>
    <s v="https://data.npolar.no/dataset/10db6623-3a5c-4eb4-aee1-13d5f37bfb7a"/>
    <n v="1"/>
    <n v="1"/>
    <n v="1"/>
    <n v="1"/>
    <n v="1"/>
    <m/>
    <n v="1"/>
    <n v="1"/>
  </r>
  <r>
    <n v="44"/>
    <x v="4"/>
    <s v="Spectral shortwave radiation (incident, reflected, transmitted) across snow-ice-ocean interfaces during the N-ICE2015 expedition (Floe 3 &amp; 4 supersite and refrozen lead transects)"/>
    <s v="Measurements include downwelling and upwelling irradiance, albedo, and transmittance at fixed &quot;supersite&quot; locations on Floe 3 and 4, and incident/transmitted irradiance across a refrozen lead transect near R/V Lance."/>
    <s v="FAIRsharing.org - Norwegian Polar Data Centre"/>
    <s v="https://data.npolar.no/dataset/9089792e-f5b2-5db3-9a46-268f775b1d8d"/>
    <n v="1"/>
    <m/>
    <n v="1"/>
    <n v="1"/>
    <n v="1"/>
    <m/>
    <n v="1"/>
    <n v="1"/>
  </r>
  <r>
    <n v="45"/>
    <x v="4"/>
    <s v="Preliminary hydrographic profiles (temperature–salinity pairs) from a Seaglider mission"/>
    <s v="Contains preliminary, uncalibrated measurements of conservative temperature and salinity collected by a Seaglider autonomous underwater vehicle between 28 December 2020 and 17 March 2021"/>
    <s v="FAIRsharing.org - Norwegian Polar Data Centre"/>
    <s v="https://data.npolar.no/dataset/1959df96-4218-4fdd-b34a-77b7bf1b4b70/file?prefix=%2FSG546%2Fraw%2F"/>
    <n v="1"/>
    <m/>
    <n v="1"/>
    <n v="1"/>
    <n v="1"/>
    <m/>
    <m/>
    <n v="1"/>
  </r>
  <r>
    <n v="46"/>
    <x v="4"/>
    <s v="Long-term hydrography and ocean current observations from the Amundsen Basin, Arctic Ocean (723-day mooring)"/>
    <s v="Contains hydrographic (temperature, salinity, pressure, conductivity) and ocean current data from the Amundsen-22 mooring, deployed at 4215 m depth in the Amundsen Basin between 7 Aug 2022 – 30 Jul 2024 during Arctic Ocean cruises on the R/V Kronprins Haakon"/>
    <s v="FAIRsharing.org - Norwegian Polar Data Centre"/>
    <s v="https://data.npolar.no/dataset/92445174-7f22-4e04-8df8-fc0965720265"/>
    <n v="1"/>
    <n v="1"/>
    <n v="1"/>
    <n v="1"/>
    <n v="1"/>
    <m/>
    <n v="1"/>
    <n v="1"/>
  </r>
  <r>
    <n v="47"/>
    <x v="4"/>
    <s v="Long-term hydrographic time series in the northwestern Barents Sea slope region, aimed at capturing inflow variability from the north"/>
    <s v="Measured temperature, salinity, pressure, conductivity at multiple depths (22–250 m)"/>
    <s v="FAIRsharing.org - Norwegian Polar Data Centre"/>
    <s v="https://data.npolar.no/dataset/bb2d725f-76b7-44c2-b184-60c6e17dfacd"/>
    <n v="1"/>
    <n v="1"/>
    <n v="1"/>
    <n v="1"/>
    <n v="1"/>
    <m/>
    <m/>
    <n v="1"/>
  </r>
  <r>
    <n v="48"/>
    <x v="4"/>
    <s v="Long-term physical oceanography and sea ice data from 1981–2015, including currents, hydrography, sea ice drift, and sea ice thickness"/>
    <s v="Contains Moored instrument data, CTD casts, Bottle data, Sea ice thickness, Sea ice drift"/>
    <s v="FAIRsharing.org - Norwegian Polar Data Centre"/>
    <s v="https://data.npolar.no/dataset/e3d4f892-2ccc-5b9a-8a6b-8330bc1ec9ee"/>
    <n v="1"/>
    <m/>
    <n v="1"/>
    <n v="1"/>
    <n v="1"/>
    <m/>
    <n v="1"/>
    <n v="1"/>
  </r>
  <r>
    <n v="49"/>
    <x v="4"/>
    <s v="Long-term hydrography and current measurements from the Nansen Basin, Arctic Ocean (722-day mooring)"/>
    <s v="The dataset includes: Hydrography: Temperature, salinity, pressure, conductivity from multiple depths (50–3792 m).Currents: Horizontal velocity profiles from two ADCPs (shallow RDI 300 kHz, deep Nortek Signature55)"/>
    <s v="FAIRsharing.org - Norwegian Polar Data Centre"/>
    <s v="https://data.npolar.no/dataset/67ffb476-6bfa-4ec1-94f5-9cdb2ca2aa9b"/>
    <n v="1"/>
    <m/>
    <n v="1"/>
    <n v="1"/>
    <n v="1"/>
    <m/>
    <n v="1"/>
    <n v="1"/>
  </r>
  <r>
    <n v="50"/>
    <x v="4"/>
    <s v="Sea ice + snow thickness mapping in the Barents Sea region during March 2014"/>
    <s v="This dataset contains sea ice thickness measurements from 8 helicopter flights in March 2014 across the Barents Sea"/>
    <s v="FAIRsharing.org - Norwegian Polar Data Centre"/>
    <s v="https://data.npolar.no/dataset/ee8f4f8d-3ed8-411b-99be-e52dedc2efe1"/>
    <n v="1"/>
    <m/>
    <n v="1"/>
    <n v="1"/>
    <n v="1"/>
    <m/>
    <m/>
    <n v="1"/>
  </r>
  <r>
    <n v="51"/>
    <x v="4"/>
    <s v="Long-term hydrography and current observations from two gateway moorings (M1, M2) in the northern Barents Sea, part of the Nansen Legacy project"/>
    <s v="Hydrography: Conductivity, temperature, and pressure from RBR Concerto and SBE16plus v2; temperature from RBR Solo. Currents: Near-surface from Nortek Signature 500 kHz ADCPs; full water column from RDI 150 kHz ADCPs"/>
    <s v="FAIRsharing.org - Norwegian Polar Data Centre"/>
    <s v="https://data.npolar.no/dataset/1a68b156-6f96-4824-8b10-40f07acbd632"/>
    <n v="1"/>
    <n v="1"/>
    <n v="1"/>
    <n v="1"/>
    <n v="1"/>
    <m/>
    <m/>
    <n v="1"/>
  </r>
  <r>
    <n v="52"/>
    <x v="4"/>
    <s v="CTD hydrography and auxiliary biogeochemical data from the Troll Transect Cruise 2020–2021 off Dronning Maud Land, Antarctica"/>
    <s v="Include temperature, conductivity, salinity, chlorophyll fluorescence (calibrated), and dissolved oxygen (uncalibrated + raw voltage)"/>
    <s v="FAIRsharing.org - Norwegian Polar Data Centre"/>
    <s v="https://data.npolar.no/dataset/b1504a66-9332-4f45-98ed-01450e1635f6"/>
    <n v="1"/>
    <n v="1"/>
    <n v="1"/>
    <n v="1"/>
    <n v="1"/>
    <m/>
    <n v="1"/>
    <n v="1"/>
  </r>
  <r>
    <n v="53"/>
    <x v="4"/>
    <s v="Hydrography and biogeochemistry in the Nansen and Amundsen Basins of the Arctic Ocean during the AO-2022 research cruise"/>
    <s v="Profiles include temperature, conductivity, salinity (derived), dissolved oxygen, and CDOM fluorescence"/>
    <s v="FAIRsharing.org - Norwegian Polar Data Centre"/>
    <s v="https://data.npolar.no/dataset/d1e609e2-08ff-4638-843c-28d039c9d33c"/>
    <n v="1"/>
    <n v="1"/>
    <n v="1"/>
    <n v="1"/>
    <n v="1"/>
    <m/>
    <n v="1"/>
    <n v="1"/>
  </r>
  <r>
    <n v="54"/>
    <x v="4"/>
    <s v="Airborne measurements of sea ice thickness (ice + snow) in the Fram Strait region"/>
    <s v="Contains sea ice thickness measurements from 9 helicopter flights conducted in the Fram Strait between August–September 2014"/>
    <s v="FAIRsharing.org - Norwegian Polar Data Centre"/>
    <s v="https://data.npolar.no/dataset/1ed8c57e-8041-42fd-95bb-cfe4e181e9b8"/>
    <n v="1"/>
    <m/>
    <n v="1"/>
    <n v="1"/>
    <n v="1"/>
    <m/>
    <m/>
    <n v="1"/>
  </r>
  <r>
    <n v="55"/>
    <x v="4"/>
    <s v="Hydrography and biogeochemistry in the Nansen and Amundsen Basins, Arctic Ocean during the AO2024 cruise"/>
    <s v="CTD data include temperature, conductivity, salinity (derived), and dissolved oxygen. Laboratory measurements from Niskin bottle samples include salinity, dissolved oxygen, and chlorophyll"/>
    <s v="FAIRsharing.org - Norwegian Polar Data Centre"/>
    <s v="https://data.npolar.no/dataset/60e6f94c-3ee4-44eb-9f34-f49d26029b2f"/>
    <n v="1"/>
    <n v="1"/>
    <n v="1"/>
    <n v="1"/>
    <n v="1"/>
    <n v="1"/>
    <n v="1"/>
    <n v="1"/>
  </r>
  <r>
    <n v="56"/>
    <x v="4"/>
    <s v="Coupled sea ice algal biofilm studies using under-ice hyperspectral imaging and ice core biogeochemistry (chl a, pigments), including lab incubation experiments with monocultures"/>
    <s v="Sea ice cores from Tempelfjorden and Van Mijenfjorden, Svalbard, combined with UHI spectral imaging surveys beneath the ice"/>
    <s v="FAIRsharing.org - Norwegian Polar Data Centre"/>
    <s v="https://data.npolar.no/dataset/974eb850-325c-4259-a7a4-5e01e8f635e5"/>
    <n v="1"/>
    <n v="1"/>
    <n v="1"/>
    <n v="1"/>
    <n v="1"/>
    <m/>
    <n v="1"/>
    <n v="1"/>
  </r>
  <r>
    <n v="57"/>
    <x v="4"/>
    <s v="Time-series of sea ice drift, air pressure, and temperature from drifting buoys deployed during CIRFA 2022"/>
    <s v="Include GPS position, air temperature, air pressure, pressure tendency, and battery voltage, with variable sampling intervals (hourly → half-hourly → daily/bi-daily)"/>
    <s v="FAIRsharing.org - Norwegian Polar Data Centre"/>
    <s v="https://data.npolar.no/dataset/ab9371f7-542f-4e07-beb0-3d2771d1d111"/>
    <n v="1"/>
    <m/>
    <n v="1"/>
    <n v="1"/>
    <n v="1"/>
    <m/>
    <n v="1"/>
    <n v="1"/>
  </r>
  <r>
    <n v="58"/>
    <x v="4"/>
    <s v="Microstructure turbulence and hydrography in Kongsfjorden, Svalbard (August 2021)"/>
    <s v="Dissipation rate of turbulent kinetic energy, In situ temperature, Practical salinity"/>
    <s v="FAIRsharing.org - Norwegian Polar Data Centre"/>
    <s v="https://data.npolar.no/dataset/d2a4f5c8-6122-4594-b301-dd909776833f"/>
    <n v="1"/>
    <n v="1"/>
    <n v="1"/>
    <n v="1"/>
    <n v="1"/>
    <m/>
    <n v="1"/>
    <n v="1"/>
  </r>
  <r>
    <n v="59"/>
    <x v="4"/>
    <s v="High-resolution meteorological observations in Antarctica (Troll research station &amp; Troll airfield, Dronning Maud Land)"/>
    <s v="Data is recorded approximately once per minute and includes pressure, wind, temperature, humidity, radiation, and ice/ground temperatures"/>
    <s v="FAIRsharing.org - Norwegian Polar Data Centre"/>
    <s v="https://data.npolar.no/dataset/79d4b7c7-3bee-40a6-975f-f9ed4d253c44"/>
    <n v="1"/>
    <m/>
    <n v="1"/>
    <n v="1"/>
    <n v="1"/>
    <m/>
    <n v="1"/>
    <n v="1"/>
  </r>
  <r>
    <n v="60"/>
    <x v="4"/>
    <s v="Ocean currents, hydrography, and water mass properties in the East Greenland Current (Fram Strait Arctic Outflow Observatory)"/>
    <s v="Time series of ocean currents, temperature, salinity, and pressure from moored instruments in the East Greenland Current at 78°50′N"/>
    <s v="FAIRsharing.org - Norwegian Polar Data Centre"/>
    <s v="https://data.npolar.no/dataset/c4d80b64-25f6-4afd-b392-696430c3fd14"/>
    <n v="1"/>
    <n v="1"/>
    <n v="1"/>
    <n v="1"/>
    <n v="1"/>
    <m/>
    <n v="1"/>
    <n v="1"/>
  </r>
  <r>
    <n v="61"/>
    <x v="4"/>
    <s v="Sea ice draft and drift velocity, ocean currents, and hydrography in the Barents Sea"/>
    <s v="Data were collected in ensembles of 48 pings at 1-second intervals every 15 minutes, processed with tilt/sound speed/pressure corrections, and distributed in NetCDF and .mat formats"/>
    <s v="FAIRsharing.org - Norwegian Polar Data Centre"/>
    <s v="https://data.npolar.no/dataset/c19e8a7d-bd2c-4e59-9d65-8cbdd19a3e1b"/>
    <n v="1"/>
    <m/>
    <n v="1"/>
    <n v="1"/>
    <n v="1"/>
    <m/>
    <n v="1"/>
    <n v="1"/>
  </r>
  <r>
    <n v="62"/>
    <x v="4"/>
    <s v="Variability and trends of Atlantic Water inflow into the Arctic Ocean (Nansen Basin, north of the Barents Sea)"/>
    <s v="Autonomous oceanographic sensors (CTDs and ADCPs) continuously collected time series data"/>
    <s v="FAIRsharing.org - Norwegian Polar Data Centre"/>
    <s v="https://data.npolar.no/dataset/86ec6869-76c2-46f2-a8f2-8dfae84930e5"/>
    <n v="1"/>
    <m/>
    <n v="1"/>
    <n v="1"/>
    <n v="1"/>
    <m/>
    <n v="1"/>
    <n v="1"/>
  </r>
  <r>
    <n v="63"/>
    <x v="4"/>
    <s v="In-situ profiles of seawater optical absorption, hydrography, and nitrate concentration under ice"/>
    <s v="collected coincident with SBE19+ CTD (temperature, salinity, depth) and ISUS nitrate sensor measurements"/>
    <s v="FAIRsharing.org - Norwegian Polar Data Centre"/>
    <s v="https://data.npolar.no/dataset/7dce5c52-2aef-55b2-8bc7-194996c5c888"/>
    <n v="1"/>
    <m/>
    <n v="1"/>
    <n v="1"/>
    <n v="1"/>
    <m/>
    <m/>
    <n v="1"/>
  </r>
  <r>
    <n v="64"/>
    <x v="4"/>
    <s v="Hydrographic profiling: salinity, temperature, pressure, conductivity, sound velocity"/>
    <s v="Includes corrected metadata (time, lat, lon, station numbers), and conductivity slope corrections adjusted based on deep bottle samples to achieve high-accuracy salinity"/>
    <s v="FAIRsharing.org - Norwegian Polar Data Centre"/>
    <s v="https://data.npolar.no/dataset/92262a9c-e6a4-59b5-9929-81c0429d7de6"/>
    <n v="1"/>
    <m/>
    <n v="1"/>
    <n v="1"/>
    <n v="1"/>
    <m/>
    <n v="1"/>
    <n v="1"/>
  </r>
  <r>
    <n v="65"/>
    <x v="1"/>
    <s v="Blood pressure morphology assessment using photoplethysmography (PPG) and arterial blood pressure (ABP) waveforms"/>
    <s v="Subset of the MIMIC-III Waveform Database Matched Subset. 5,821 PPG and ABP records from 1,196 subjects at 125 Hz. Each record reduced to two 15 s segments, 5 min apart"/>
    <s v="figshare"/>
    <s v="https://figshare.com/articles/dataset/Sensors_dataset/20496243?file=38671832"/>
    <n v="1"/>
    <n v="1"/>
    <n v="1"/>
    <n v="1"/>
    <n v="1"/>
    <n v="1"/>
    <m/>
    <n v="1"/>
  </r>
  <r>
    <n v="66"/>
    <x v="13"/>
    <s v="Impact-Echo technique applied to concrete test beams to analyse internal material properties and responses to mechanical impacts"/>
    <s v="Includes variations in hammer tips, hammer handles, and applied forces"/>
    <s v="figshare"/>
    <s v="https://figshare.com/articles/dataset/Effect_of_Hammer_Type_on_Generated_Mechanical_Signals_in_Impact-Echo_Testing/13653284?file=26207933"/>
    <n v="1"/>
    <m/>
    <n v="1"/>
    <n v="1"/>
    <n v="1"/>
    <m/>
    <n v="1"/>
    <n v="1"/>
  </r>
  <r>
    <n v="67"/>
    <x v="13"/>
    <s v="Continuous motor health monitoring for predictive maintenance and fault detection in fan coil motors."/>
    <s v="Consists of continuous vibration readings collected from a fan coil motor in a corporate environment"/>
    <s v="figshare"/>
    <s v="https://figshare.com/articles/dataset/_i_Vibration_Sensor_Dataset_for_Estimating_Fan_Coil_Motor_Health_i_/25959403"/>
    <n v="1"/>
    <m/>
    <n v="1"/>
    <n v="1"/>
    <n v="1"/>
    <m/>
    <m/>
    <n v="1"/>
  </r>
  <r>
    <n v="68"/>
    <x v="1"/>
    <s v="Measurement of high acoustic pressures from a HIFU (High-Intensity Focused Ultrasound) transducer using a robust Fabry–Pérot (FP) optical sensor, validated against hydrophone and simulation (KZK)"/>
    <s v="Measurements of acoustic fields generated by a 1.1 MHz spherical focusing HIFU transducer (H101, Sonic Concepts) in water"/>
    <s v="figshare"/>
    <s v="https://figshare.com/articles/dataset/Rapid_Spatial_Mapping_of_Focused_Ultrasound_Fields_Using_a_Planar_Fabry_P_rot_Sensor/14217200"/>
    <n v="1"/>
    <m/>
    <n v="1"/>
    <n v="1"/>
    <n v="1"/>
    <m/>
    <m/>
    <n v="1"/>
  </r>
  <r>
    <n v="69"/>
    <x v="2"/>
    <s v="A field-scale sensor network data set for monitoring and modeling the spatial and temporal variation of soil moisture in a dryland agricultural field"/>
    <s v="Hourly and daily measurements of volumetric water content, soil temperature, and bulk electrical conductivity"/>
    <s v="figshare"/>
    <s v="https://figshare.com/articles/dataset/Data_from_A_field-scale_sensor_network_data_set_for_monitoring_and_modeling_the_spatial_and_temporal_variation_of_soil_moisture_in_a_dryland_agricultural_field/24852273?file=44335805"/>
    <n v="1"/>
    <n v="1"/>
    <n v="1"/>
    <n v="1"/>
    <n v="1"/>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756BB-268F-BD46-B2A2-8836DB501F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6" firstHeaderRow="1" firstDataRow="1" firstDataCol="1"/>
  <pivotFields count="14">
    <pivotField showAll="0"/>
    <pivotField axis="axisRow" showAll="0" sortType="ascending">
      <items count="15">
        <item x="3"/>
        <item x="2"/>
        <item x="8"/>
        <item x="0"/>
        <item x="13"/>
        <item x="4"/>
        <item x="1"/>
        <item x="6"/>
        <item x="5"/>
        <item x="11"/>
        <item x="10"/>
        <item x="7"/>
        <item x="9"/>
        <item x="1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5">
    <i>
      <x/>
    </i>
    <i>
      <x v="2"/>
    </i>
    <i>
      <x v="9"/>
    </i>
    <i>
      <x v="12"/>
    </i>
    <i>
      <x v="10"/>
    </i>
    <i>
      <x v="13"/>
    </i>
    <i>
      <x v="8"/>
    </i>
    <i>
      <x v="4"/>
    </i>
    <i>
      <x v="7"/>
    </i>
    <i>
      <x v="3"/>
    </i>
    <i>
      <x v="1"/>
    </i>
    <i>
      <x v="6"/>
    </i>
    <i>
      <x v="11"/>
    </i>
    <i>
      <x v="5"/>
    </i>
    <i t="grand">
      <x/>
    </i>
  </rowItems>
  <colItems count="1">
    <i/>
  </colItems>
  <dataFields count="1">
    <dataField name="Count of Topic"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EF655C-6715-1540-B8AD-2AE11DD14C07}" name="Table2" displayName="Table2" ref="A1:C71" totalsRowShown="0">
  <autoFilter ref="A1:C71" xr:uid="{32EF655C-6715-1540-B8AD-2AE11DD14C07}">
    <filterColumn colId="0" hiddenButton="1"/>
    <filterColumn colId="1" hiddenButton="1"/>
    <filterColumn colId="2" hiddenButton="1"/>
  </autoFilter>
  <tableColumns count="3">
    <tableColumn id="1" xr3:uid="{806C1139-4DE7-9C48-887C-3C0A5E35E4BF}" name="Sublink"/>
    <tableColumn id="2" xr3:uid="{09DC8AC2-D07E-F049-9F2E-8A18DBB16EFB}" name="Title"/>
    <tableColumn id="3" xr3:uid="{DD4812DE-C7B1-9A45-963F-2D2DC8151F1F}" name="Link"/>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6082C9-548B-6845-8F29-DDAF5D148CFB}" name="Table14" displayName="Table14" ref="A2:N72" totalsRowCount="1" headerRowDxfId="13" dataDxfId="12">
  <autoFilter ref="A2:N71" xr:uid="{530F6BB7-B709-4B46-8802-D6FEABDA1E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D88BD33-6BCB-A047-B6FD-97816D3DD6DE}" name="DatasetNo" totalsRowLabel="Total"/>
    <tableColumn id="2" xr3:uid="{876BFD5F-1DFC-334E-A898-7CAC05577AEC}" name="Industry"/>
    <tableColumn id="3" xr3:uid="{870415AA-4A9B-0543-91DF-569FE1684DB8}" name="Topic" dataDxfId="11"/>
    <tableColumn id="4" xr3:uid="{658B1B79-8515-6B42-B04A-19BFE17BADF2}" name="Content" dataDxfId="10"/>
    <tableColumn id="5" xr3:uid="{17DE52CE-3D68-1849-9B04-FAF8A0764901}" name="SourcePlatform" dataDxfId="9"/>
    <tableColumn id="6" xr3:uid="{DCFAD21D-5927-1A4B-AFA3-4EE69434CDDD}" name="Website" totalsRowDxfId="8" dataCellStyle="Hyperlink"/>
    <tableColumn id="7" xr3:uid="{AC0EA9D8-BEF1-D342-BB79-7D7D8727C788}" name="IoT Device" totalsRowFunction="sum" dataDxfId="7"/>
    <tableColumn id="8" xr3:uid="{DDBB1D20-B21C-764D-9AE5-3F657F6CC313}" name="Sample" totalsRowFunction="sum"/>
    <tableColumn id="9" xr3:uid="{4420C53F-0F6A-9F4B-97CA-86DD46503E54}" name="FeatureOfInterest" totalsRowFunction="sum" dataDxfId="6"/>
    <tableColumn id="10" xr3:uid="{84B3E653-A6B5-454E-ACA2-F490FC602A32}" name="Property" totalsRowFunction="sum" dataDxfId="5"/>
    <tableColumn id="11" xr3:uid="{6F317E79-1E77-2041-ADDD-704C130C7E07}" name="Result" totalsRowFunction="sum" dataDxfId="4"/>
    <tableColumn id="12" xr3:uid="{1E0B18CD-783E-4848-98E2-EE4448D3ED46}" name="Platform" totalsRowFunction="sum" dataDxfId="3"/>
    <tableColumn id="14" xr3:uid="{275B2A60-D0B2-E845-9115-EA9E87A85026}" name="Deployment" totalsRowFunction="sum" dataDxfId="2"/>
    <tableColumn id="13" xr3:uid="{CD0E08D7-CACB-D747-B7A5-0B7DA83FEE66}" name="resultTime" totalsRowFunction="sum" dataDxfId="1"/>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E69D70-0700-E44A-8983-C8F428832645}" name="Table1" displayName="Table1" ref="A28:C36" totalsRowShown="0">
  <autoFilter ref="A28:C36" xr:uid="{61E69D70-0700-E44A-8983-C8F428832645}">
    <filterColumn colId="0" hiddenButton="1"/>
    <filterColumn colId="1" hiddenButton="1"/>
    <filterColumn colId="2" hiddenButton="1"/>
  </autoFilter>
  <tableColumns count="3">
    <tableColumn id="1" xr3:uid="{5CCCBF21-1074-3342-AF92-F795C59D8020}" name="Component"/>
    <tableColumn id="2" xr3:uid="{EAD59B81-7614-B34A-B604-C971864529B7}" name="Dataset Count"/>
    <tableColumn id="3" xr3:uid="{0D0088BB-8174-6349-9F75-853F641352F5}" name="Percentage" dataCellStyle="Per cent">
      <calculatedColumnFormula>Table1[[#This Row],[Dataset Count]]/GETPIVOTDATA("Topic",$A$1)</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6" Type="http://schemas.openxmlformats.org/officeDocument/2006/relationships/hyperlink" Target="https://zenodo.org/records/13754606" TargetMode="External"/><Relationship Id="rId21" Type="http://schemas.openxmlformats.org/officeDocument/2006/relationships/hyperlink" Target="https://zenodo.org/records/14911563" TargetMode="External"/><Relationship Id="rId42" Type="http://schemas.openxmlformats.org/officeDocument/2006/relationships/hyperlink" Target="https://data.npolar.no/dataset/7b5b8509-62f2-4b3b-b5a8-af94e27551d5" TargetMode="External"/><Relationship Id="rId47" Type="http://schemas.openxmlformats.org/officeDocument/2006/relationships/hyperlink" Target="https://data.npolar.no/dataset/bb2d725f-76b7-44c2-b184-60c6e17dfacd" TargetMode="External"/><Relationship Id="rId63" Type="http://schemas.openxmlformats.org/officeDocument/2006/relationships/hyperlink" Target="https://data.npolar.no/dataset/7dce5c52-2aef-55b2-8bc7-194996c5c888" TargetMode="External"/><Relationship Id="rId68" Type="http://schemas.openxmlformats.org/officeDocument/2006/relationships/hyperlink" Target="https://figshare.com/articles/dataset/Rapid_Spatial_Mapping_of_Focused_Ultrasound_Fields_Using_a_Planar_Fabry_P_rot_Sensor/14217200" TargetMode="External"/><Relationship Id="rId7" Type="http://schemas.openxmlformats.org/officeDocument/2006/relationships/hyperlink" Target="https://zenodo.org/records/16811020" TargetMode="External"/><Relationship Id="rId2" Type="http://schemas.openxmlformats.org/officeDocument/2006/relationships/hyperlink" Target="https://datadryad.org/dataset/doi:10.5061/dryad.w0vt4b939" TargetMode="External"/><Relationship Id="rId16" Type="http://schemas.openxmlformats.org/officeDocument/2006/relationships/hyperlink" Target="https://zenodo.org/records/3930442" TargetMode="External"/><Relationship Id="rId29" Type="http://schemas.openxmlformats.org/officeDocument/2006/relationships/hyperlink" Target="https://zenodo.org/records/4290789" TargetMode="External"/><Relationship Id="rId11" Type="http://schemas.openxmlformats.org/officeDocument/2006/relationships/hyperlink" Target="https://zenodo.org/records/8340005" TargetMode="External"/><Relationship Id="rId24" Type="http://schemas.openxmlformats.org/officeDocument/2006/relationships/hyperlink" Target="https://zenodo.org/records/819905" TargetMode="External"/><Relationship Id="rId32" Type="http://schemas.openxmlformats.org/officeDocument/2006/relationships/hyperlink" Target="https://zenodo.org/records/10779256" TargetMode="External"/><Relationship Id="rId37" Type="http://schemas.openxmlformats.org/officeDocument/2006/relationships/hyperlink" Target="https://dataverse.harvard.edu/dataset.xhtml?persistentId=doi:10.7910/DVN/ODY7GH" TargetMode="External"/><Relationship Id="rId40" Type="http://schemas.openxmlformats.org/officeDocument/2006/relationships/hyperlink" Target="https://data.npolar.no/dataset/6ed9a8ca-95b0-43be-bedf-8176bf56da80" TargetMode="External"/><Relationship Id="rId45" Type="http://schemas.openxmlformats.org/officeDocument/2006/relationships/hyperlink" Target="https://data.npolar.no/dataset/1959df96-4218-4fdd-b34a-77b7bf1b4b70/file?prefix=%2FSG546%2Fraw%2F" TargetMode="External"/><Relationship Id="rId53" Type="http://schemas.openxmlformats.org/officeDocument/2006/relationships/hyperlink" Target="https://data.npolar.no/dataset/d1e609e2-08ff-4638-843c-28d039c9d33c" TargetMode="External"/><Relationship Id="rId58" Type="http://schemas.openxmlformats.org/officeDocument/2006/relationships/hyperlink" Target="https://data.npolar.no/dataset/d2a4f5c8-6122-4594-b301-dd909776833f" TargetMode="External"/><Relationship Id="rId66" Type="http://schemas.openxmlformats.org/officeDocument/2006/relationships/hyperlink" Target="https://figshare.com/articles/dataset/Effect_of_Hammer_Type_on_Generated_Mechanical_Signals_in_Impact-Echo_Testing/13653284?file=26207933" TargetMode="External"/><Relationship Id="rId5" Type="http://schemas.openxmlformats.org/officeDocument/2006/relationships/hyperlink" Target="https://datadryad.org/dataset/doi:10.5061/dryad.2rbnzs7z3" TargetMode="External"/><Relationship Id="rId61" Type="http://schemas.openxmlformats.org/officeDocument/2006/relationships/hyperlink" Target="https://data.npolar.no/dataset/c19e8a7d-bd2c-4e59-9d65-8cbdd19a3e1b" TargetMode="External"/><Relationship Id="rId19" Type="http://schemas.openxmlformats.org/officeDocument/2006/relationships/hyperlink" Target="https://zenodo.org/records/4593853" TargetMode="External"/><Relationship Id="rId14" Type="http://schemas.openxmlformats.org/officeDocument/2006/relationships/hyperlink" Target="https://zenodo.org/records/13682870" TargetMode="External"/><Relationship Id="rId22" Type="http://schemas.openxmlformats.org/officeDocument/2006/relationships/hyperlink" Target="https://zenodo.org/records/4010348" TargetMode="External"/><Relationship Id="rId27" Type="http://schemas.openxmlformats.org/officeDocument/2006/relationships/hyperlink" Target="https://zenodo.org/records/13754446" TargetMode="External"/><Relationship Id="rId30" Type="http://schemas.openxmlformats.org/officeDocument/2006/relationships/hyperlink" Target="https://zenodo.org/records/16579804" TargetMode="External"/><Relationship Id="rId35" Type="http://schemas.openxmlformats.org/officeDocument/2006/relationships/hyperlink" Target="https://zenodo.org/records/15475624" TargetMode="External"/><Relationship Id="rId43" Type="http://schemas.openxmlformats.org/officeDocument/2006/relationships/hyperlink" Target="https://data.npolar.no/dataset/10db6623-3a5c-4eb4-aee1-13d5f37bfb7a" TargetMode="External"/><Relationship Id="rId48" Type="http://schemas.openxmlformats.org/officeDocument/2006/relationships/hyperlink" Target="https://data.npolar.no/dataset/e3d4f892-2ccc-5b9a-8a6b-8330bc1ec9ee" TargetMode="External"/><Relationship Id="rId56" Type="http://schemas.openxmlformats.org/officeDocument/2006/relationships/hyperlink" Target="https://data.npolar.no/dataset/974eb850-325c-4259-a7a4-5e01e8f635e5" TargetMode="External"/><Relationship Id="rId64" Type="http://schemas.openxmlformats.org/officeDocument/2006/relationships/hyperlink" Target="https://data.npolar.no/dataset/92262a9c-e6a4-59b5-9929-81c0429d7de6" TargetMode="External"/><Relationship Id="rId69" Type="http://schemas.openxmlformats.org/officeDocument/2006/relationships/hyperlink" Target="https://figshare.com/articles/dataset/Data_from_A_field-scale_sensor_network_data_set_for_monitoring_and_modeling_the_spatial_and_temporal_variation_of_soil_moisture_in_a_dryland_agricultural_field/24852273?file=44335805" TargetMode="External"/><Relationship Id="rId8" Type="http://schemas.openxmlformats.org/officeDocument/2006/relationships/hyperlink" Target="https://zenodo.org/records/7643456" TargetMode="External"/><Relationship Id="rId51" Type="http://schemas.openxmlformats.org/officeDocument/2006/relationships/hyperlink" Target="https://data.npolar.no/dataset/1a68b156-6f96-4824-8b10-40f07acbd632" TargetMode="External"/><Relationship Id="rId3" Type="http://schemas.openxmlformats.org/officeDocument/2006/relationships/hyperlink" Target="https://datadryad.org/dataset/doi:10.25349/D9KS3W" TargetMode="External"/><Relationship Id="rId12" Type="http://schemas.openxmlformats.org/officeDocument/2006/relationships/hyperlink" Target="https://zenodo.org/records/4607289" TargetMode="External"/><Relationship Id="rId17" Type="http://schemas.openxmlformats.org/officeDocument/2006/relationships/hyperlink" Target="https://zenodo.org/records/10982620" TargetMode="External"/><Relationship Id="rId25" Type="http://schemas.openxmlformats.org/officeDocument/2006/relationships/hyperlink" Target="https://zenodo.org/records/10544811" TargetMode="External"/><Relationship Id="rId33" Type="http://schemas.openxmlformats.org/officeDocument/2006/relationships/hyperlink" Target="https://zenodo.org/records/15569226" TargetMode="External"/><Relationship Id="rId38" Type="http://schemas.openxmlformats.org/officeDocument/2006/relationships/hyperlink" Target="https://osf.io/4g87c/" TargetMode="External"/><Relationship Id="rId46" Type="http://schemas.openxmlformats.org/officeDocument/2006/relationships/hyperlink" Target="https://data.npolar.no/dataset/92445174-7f22-4e04-8df8-fc0965720265" TargetMode="External"/><Relationship Id="rId59" Type="http://schemas.openxmlformats.org/officeDocument/2006/relationships/hyperlink" Target="https://data.npolar.no/dataset/79d4b7c7-3bee-40a6-975f-f9ed4d253c44" TargetMode="External"/><Relationship Id="rId67" Type="http://schemas.openxmlformats.org/officeDocument/2006/relationships/hyperlink" Target="https://figshare.com/articles/dataset/_i_Vibration_Sensor_Dataset_for_Estimating_Fan_Coil_Motor_Health_i_/25959403" TargetMode="External"/><Relationship Id="rId20" Type="http://schemas.openxmlformats.org/officeDocument/2006/relationships/hyperlink" Target="https://zenodo.org/records/12566912" TargetMode="External"/><Relationship Id="rId41" Type="http://schemas.openxmlformats.org/officeDocument/2006/relationships/hyperlink" Target="https://data.npolar.no/dataset/9605165a-bcb0-45e4-9fe6-fccaf7956578/file" TargetMode="External"/><Relationship Id="rId54" Type="http://schemas.openxmlformats.org/officeDocument/2006/relationships/hyperlink" Target="https://data.npolar.no/dataset/1ed8c57e-8041-42fd-95bb-cfe4e181e9b8" TargetMode="External"/><Relationship Id="rId62" Type="http://schemas.openxmlformats.org/officeDocument/2006/relationships/hyperlink" Target="https://data.npolar.no/dataset/86ec6869-76c2-46f2-a8f2-8dfae84930e5" TargetMode="External"/><Relationship Id="rId70" Type="http://schemas.openxmlformats.org/officeDocument/2006/relationships/table" Target="../tables/table2.xml"/><Relationship Id="rId1" Type="http://schemas.openxmlformats.org/officeDocument/2006/relationships/hyperlink" Target="https://datadryad.org/dataset/doi:10.5061/dryad.0gb5mkm8d" TargetMode="External"/><Relationship Id="rId6" Type="http://schemas.openxmlformats.org/officeDocument/2006/relationships/hyperlink" Target="https://datadryad.org/dataset/doi:10.5061/dryad.9ghx3ffpp" TargetMode="External"/><Relationship Id="rId15" Type="http://schemas.openxmlformats.org/officeDocument/2006/relationships/hyperlink" Target="https://zenodo.org/records/8371502" TargetMode="External"/><Relationship Id="rId23" Type="http://schemas.openxmlformats.org/officeDocument/2006/relationships/hyperlink" Target="https://zenodo.org/records/7895500" TargetMode="External"/><Relationship Id="rId28" Type="http://schemas.openxmlformats.org/officeDocument/2006/relationships/hyperlink" Target="https://zenodo.org/records/12093143" TargetMode="External"/><Relationship Id="rId36" Type="http://schemas.openxmlformats.org/officeDocument/2006/relationships/hyperlink" Target="https://dataverse.harvard.edu/dataset.xhtml?persistentId=doi:10.7910/DVN/6CKENX" TargetMode="External"/><Relationship Id="rId49" Type="http://schemas.openxmlformats.org/officeDocument/2006/relationships/hyperlink" Target="https://data.npolar.no/dataset/67ffb476-6bfa-4ec1-94f5-9cdb2ca2aa9b" TargetMode="External"/><Relationship Id="rId57" Type="http://schemas.openxmlformats.org/officeDocument/2006/relationships/hyperlink" Target="https://data.npolar.no/dataset/ab9371f7-542f-4e07-beb0-3d2771d1d111" TargetMode="External"/><Relationship Id="rId10" Type="http://schemas.openxmlformats.org/officeDocument/2006/relationships/hyperlink" Target="https://zenodo.org/records/13757084" TargetMode="External"/><Relationship Id="rId31" Type="http://schemas.openxmlformats.org/officeDocument/2006/relationships/hyperlink" Target="https://zenodo.org/records/12666132" TargetMode="External"/><Relationship Id="rId44" Type="http://schemas.openxmlformats.org/officeDocument/2006/relationships/hyperlink" Target="https://data.npolar.no/dataset/9089792e-f5b2-5db3-9a46-268f775b1d8d" TargetMode="External"/><Relationship Id="rId52" Type="http://schemas.openxmlformats.org/officeDocument/2006/relationships/hyperlink" Target="https://data.npolar.no/dataset/b1504a66-9332-4f45-98ed-01450e1635f6" TargetMode="External"/><Relationship Id="rId60" Type="http://schemas.openxmlformats.org/officeDocument/2006/relationships/hyperlink" Target="https://data.npolar.no/dataset/c4d80b64-25f6-4afd-b392-696430c3fd14" TargetMode="External"/><Relationship Id="rId65" Type="http://schemas.openxmlformats.org/officeDocument/2006/relationships/hyperlink" Target="https://figshare.com/articles/dataset/Sensors_dataset/20496243?file=38671832" TargetMode="External"/><Relationship Id="rId4" Type="http://schemas.openxmlformats.org/officeDocument/2006/relationships/hyperlink" Target="https://datadryad.org/dataset/doi:10.5061/dryad.5hqbzkh6f" TargetMode="External"/><Relationship Id="rId9" Type="http://schemas.openxmlformats.org/officeDocument/2006/relationships/hyperlink" Target="https://zenodo.org/records/13757335" TargetMode="External"/><Relationship Id="rId13" Type="http://schemas.openxmlformats.org/officeDocument/2006/relationships/hyperlink" Target="https://zenodo.org/records/15199100" TargetMode="External"/><Relationship Id="rId18" Type="http://schemas.openxmlformats.org/officeDocument/2006/relationships/hyperlink" Target="https://zenodo.org/records/11398835" TargetMode="External"/><Relationship Id="rId39" Type="http://schemas.openxmlformats.org/officeDocument/2006/relationships/hyperlink" Target="https://data.npolar.no/dataset/7414766f-c05d-4360-b08e-ee03bf874086" TargetMode="External"/><Relationship Id="rId34" Type="http://schemas.openxmlformats.org/officeDocument/2006/relationships/hyperlink" Target="https://zenodo.org/records/15553598" TargetMode="External"/><Relationship Id="rId50" Type="http://schemas.openxmlformats.org/officeDocument/2006/relationships/hyperlink" Target="https://data.npolar.no/dataset/ee8f4f8d-3ed8-411b-99be-e52dedc2efe1" TargetMode="External"/><Relationship Id="rId55" Type="http://schemas.openxmlformats.org/officeDocument/2006/relationships/hyperlink" Target="https://data.npolar.no/dataset/60e6f94c-3ee4-44eb-9f34-f49d26029b2f"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FDDF-9C1E-6449-9822-0E69AA309E3A}">
  <dimension ref="A1:C4"/>
  <sheetViews>
    <sheetView workbookViewId="0"/>
  </sheetViews>
  <sheetFormatPr baseColWidth="10" defaultRowHeight="16" x14ac:dyDescent="0.2"/>
  <cols>
    <col min="1" max="1" width="3.83203125" style="20" customWidth="1"/>
    <col min="2" max="2" width="27.33203125" style="19" customWidth="1"/>
    <col min="3" max="3" width="66.6640625" style="19" customWidth="1"/>
  </cols>
  <sheetData>
    <row r="1" spans="1:3" s="21" customFormat="1" ht="17" x14ac:dyDescent="0.2">
      <c r="A1" s="22" t="s">
        <v>329</v>
      </c>
      <c r="B1" s="23" t="s">
        <v>7</v>
      </c>
      <c r="C1" s="23" t="s">
        <v>330</v>
      </c>
    </row>
    <row r="2" spans="1:3" ht="42" customHeight="1" x14ac:dyDescent="0.2">
      <c r="A2" s="20">
        <v>1</v>
      </c>
      <c r="B2" s="19" t="s">
        <v>331</v>
      </c>
      <c r="C2" s="19" t="s">
        <v>332</v>
      </c>
    </row>
    <row r="3" spans="1:3" ht="40" customHeight="1" x14ac:dyDescent="0.2">
      <c r="A3" s="20">
        <v>2</v>
      </c>
      <c r="B3" s="19" t="s">
        <v>333</v>
      </c>
      <c r="C3" s="19" t="s">
        <v>334</v>
      </c>
    </row>
    <row r="4" spans="1:3" ht="76" customHeight="1" x14ac:dyDescent="0.2">
      <c r="A4" s="24">
        <v>3</v>
      </c>
      <c r="B4" s="25" t="s">
        <v>335</v>
      </c>
      <c r="C4" s="25" t="s">
        <v>336</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3516-B589-FE40-B98C-14EA12ADD69D}">
  <dimension ref="A1:H11"/>
  <sheetViews>
    <sheetView tabSelected="1" workbookViewId="0">
      <selection activeCell="B2" sqref="B2"/>
    </sheetView>
  </sheetViews>
  <sheetFormatPr baseColWidth="10" defaultRowHeight="16" x14ac:dyDescent="0.2"/>
  <cols>
    <col min="1" max="1" width="22.5" style="6" bestFit="1" customWidth="1"/>
    <col min="2" max="2" width="39.33203125" bestFit="1" customWidth="1"/>
    <col min="3" max="3" width="16.6640625" customWidth="1"/>
    <col min="4" max="4" width="13.33203125" customWidth="1"/>
    <col min="5" max="5" width="9.5" style="1" bestFit="1" customWidth="1"/>
    <col min="6" max="7" width="16.1640625" customWidth="1"/>
    <col min="8" max="8" width="36" bestFit="1" customWidth="1"/>
  </cols>
  <sheetData>
    <row r="1" spans="1:8" s="6" customFormat="1" x14ac:dyDescent="0.2">
      <c r="A1" s="7" t="s">
        <v>0</v>
      </c>
      <c r="B1" s="7" t="s">
        <v>337</v>
      </c>
      <c r="C1" s="7" t="s">
        <v>13</v>
      </c>
      <c r="D1" s="7" t="s">
        <v>27</v>
      </c>
      <c r="E1" s="8" t="s">
        <v>14</v>
      </c>
      <c r="F1" s="7" t="s">
        <v>93</v>
      </c>
      <c r="G1" s="7" t="s">
        <v>94</v>
      </c>
      <c r="H1" s="7" t="s">
        <v>278</v>
      </c>
    </row>
    <row r="2" spans="1:8" x14ac:dyDescent="0.2">
      <c r="A2" s="9" t="s">
        <v>1</v>
      </c>
      <c r="B2" s="10" t="s">
        <v>10</v>
      </c>
      <c r="C2" s="10" t="s">
        <v>4</v>
      </c>
      <c r="D2" s="10"/>
      <c r="E2" s="11">
        <v>45893</v>
      </c>
      <c r="F2" s="10">
        <v>9</v>
      </c>
      <c r="G2" s="10">
        <v>3</v>
      </c>
      <c r="H2" s="10"/>
    </row>
    <row r="3" spans="1:8" x14ac:dyDescent="0.2">
      <c r="A3" s="12" t="s">
        <v>1</v>
      </c>
      <c r="B3" t="s">
        <v>10</v>
      </c>
      <c r="C3" t="s">
        <v>15</v>
      </c>
      <c r="E3" s="1">
        <v>45903</v>
      </c>
      <c r="F3">
        <v>3</v>
      </c>
      <c r="G3">
        <v>3</v>
      </c>
    </row>
    <row r="4" spans="1:8" x14ac:dyDescent="0.2">
      <c r="A4" s="12" t="s">
        <v>1</v>
      </c>
      <c r="B4" t="s">
        <v>22</v>
      </c>
      <c r="C4" t="s">
        <v>15</v>
      </c>
      <c r="D4" t="s">
        <v>28</v>
      </c>
      <c r="E4" s="1">
        <v>45903</v>
      </c>
      <c r="F4">
        <v>35</v>
      </c>
      <c r="G4">
        <f>COUNTIF(Table2[Sublink],SearchResults!$B4)</f>
        <v>30</v>
      </c>
    </row>
    <row r="5" spans="1:8" x14ac:dyDescent="0.2">
      <c r="A5" s="12" t="s">
        <v>1</v>
      </c>
      <c r="B5" t="s">
        <v>84</v>
      </c>
      <c r="C5" t="s">
        <v>15</v>
      </c>
      <c r="D5" t="s">
        <v>85</v>
      </c>
      <c r="E5" s="1">
        <v>45903</v>
      </c>
      <c r="F5">
        <v>5</v>
      </c>
      <c r="G5">
        <f>COUNTIF(Table2[Sublink],SearchResults!$B5)</f>
        <v>2</v>
      </c>
    </row>
    <row r="6" spans="1:8" x14ac:dyDescent="0.2">
      <c r="A6" s="12" t="s">
        <v>1</v>
      </c>
      <c r="B6" t="s">
        <v>86</v>
      </c>
      <c r="C6" t="s">
        <v>15</v>
      </c>
      <c r="E6" s="1">
        <v>45903</v>
      </c>
      <c r="F6">
        <v>1</v>
      </c>
      <c r="G6">
        <f>COUNTIF(Table2[Sublink],SearchResults!$B6)</f>
        <v>1</v>
      </c>
    </row>
    <row r="7" spans="1:8" x14ac:dyDescent="0.2">
      <c r="A7" s="12" t="s">
        <v>1</v>
      </c>
      <c r="B7" t="s">
        <v>193</v>
      </c>
      <c r="C7" t="s">
        <v>15</v>
      </c>
      <c r="E7" s="1">
        <v>45904</v>
      </c>
      <c r="F7">
        <v>0</v>
      </c>
      <c r="G7">
        <v>0</v>
      </c>
    </row>
    <row r="8" spans="1:8" x14ac:dyDescent="0.2">
      <c r="A8" s="12" t="s">
        <v>1</v>
      </c>
      <c r="B8" t="s">
        <v>194</v>
      </c>
      <c r="C8" t="s">
        <v>195</v>
      </c>
      <c r="E8" s="1">
        <v>45904</v>
      </c>
      <c r="F8">
        <v>28</v>
      </c>
      <c r="G8">
        <f>COUNTIF(Table2[Sublink],SearchResults!$B8)</f>
        <v>26</v>
      </c>
    </row>
    <row r="9" spans="1:8" x14ac:dyDescent="0.2">
      <c r="A9" s="12" t="s">
        <v>1</v>
      </c>
      <c r="B9" t="s">
        <v>276</v>
      </c>
      <c r="C9" t="s">
        <v>195</v>
      </c>
      <c r="E9" s="1">
        <v>45904</v>
      </c>
      <c r="F9">
        <v>9</v>
      </c>
      <c r="G9">
        <v>0</v>
      </c>
      <c r="H9" t="s">
        <v>277</v>
      </c>
    </row>
    <row r="10" spans="1:8" ht="17" thickBot="1" x14ac:dyDescent="0.25">
      <c r="A10" s="16" t="s">
        <v>1</v>
      </c>
      <c r="B10" s="17" t="s">
        <v>11</v>
      </c>
      <c r="C10" s="17" t="s">
        <v>15</v>
      </c>
      <c r="D10" s="17" t="s">
        <v>303</v>
      </c>
      <c r="E10" s="18">
        <v>45904</v>
      </c>
      <c r="F10" s="17">
        <v>14</v>
      </c>
      <c r="G10" s="17">
        <f>COUNTIF(Table2[Sublink],SearchResults!$B10)</f>
        <v>5</v>
      </c>
      <c r="H10" s="17"/>
    </row>
    <row r="11" spans="1:8" ht="17" thickTop="1" x14ac:dyDescent="0.2">
      <c r="A11" s="13" t="s">
        <v>322</v>
      </c>
      <c r="B11" s="14"/>
      <c r="C11" s="14"/>
      <c r="D11" s="14"/>
      <c r="E11" s="15"/>
      <c r="F11" s="14">
        <f>SUM(F2:F10)</f>
        <v>104</v>
      </c>
      <c r="G11" s="14">
        <f>SUM(G2:G10)</f>
        <v>70</v>
      </c>
      <c r="H11" s="14"/>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791D-CE15-6E49-AC09-1D6219CAA8E3}">
  <dimension ref="A1:C71"/>
  <sheetViews>
    <sheetView workbookViewId="0"/>
  </sheetViews>
  <sheetFormatPr baseColWidth="10" defaultRowHeight="16" x14ac:dyDescent="0.2"/>
  <cols>
    <col min="2" max="2" width="42.83203125" customWidth="1"/>
    <col min="3" max="3" width="77.33203125" customWidth="1"/>
  </cols>
  <sheetData>
    <row r="1" spans="1:3" x14ac:dyDescent="0.2">
      <c r="A1" t="s">
        <v>337</v>
      </c>
      <c r="B1" t="s">
        <v>7</v>
      </c>
      <c r="C1" t="s">
        <v>2</v>
      </c>
    </row>
    <row r="2" spans="1:3" x14ac:dyDescent="0.2">
      <c r="A2" t="s">
        <v>10</v>
      </c>
      <c r="B2" t="s">
        <v>8</v>
      </c>
      <c r="C2" t="s">
        <v>3</v>
      </c>
    </row>
    <row r="3" spans="1:3" x14ac:dyDescent="0.2">
      <c r="A3" t="s">
        <v>10</v>
      </c>
      <c r="B3" t="s">
        <v>6</v>
      </c>
      <c r="C3" t="s">
        <v>5</v>
      </c>
    </row>
    <row r="4" spans="1:3" x14ac:dyDescent="0.2">
      <c r="A4" t="s">
        <v>10</v>
      </c>
      <c r="B4" t="s">
        <v>12</v>
      </c>
      <c r="C4" t="s">
        <v>9</v>
      </c>
    </row>
    <row r="5" spans="1:3" x14ac:dyDescent="0.2">
      <c r="A5" t="s">
        <v>10</v>
      </c>
      <c r="B5" t="s">
        <v>16</v>
      </c>
      <c r="C5" t="s">
        <v>17</v>
      </c>
    </row>
    <row r="6" spans="1:3" x14ac:dyDescent="0.2">
      <c r="A6" t="s">
        <v>10</v>
      </c>
      <c r="B6" t="s">
        <v>19</v>
      </c>
      <c r="C6" t="s">
        <v>18</v>
      </c>
    </row>
    <row r="7" spans="1:3" x14ac:dyDescent="0.2">
      <c r="A7" t="s">
        <v>10</v>
      </c>
      <c r="B7" t="s">
        <v>21</v>
      </c>
      <c r="C7" t="s">
        <v>20</v>
      </c>
    </row>
    <row r="8" spans="1:3" x14ac:dyDescent="0.2">
      <c r="A8" t="s">
        <v>22</v>
      </c>
      <c r="B8" t="s">
        <v>24</v>
      </c>
      <c r="C8" t="s">
        <v>23</v>
      </c>
    </row>
    <row r="9" spans="1:3" x14ac:dyDescent="0.2">
      <c r="A9" t="s">
        <v>22</v>
      </c>
      <c r="B9" t="s">
        <v>25</v>
      </c>
      <c r="C9" t="s">
        <v>26</v>
      </c>
    </row>
    <row r="10" spans="1:3" x14ac:dyDescent="0.2">
      <c r="A10" t="s">
        <v>22</v>
      </c>
      <c r="B10" t="s">
        <v>29</v>
      </c>
      <c r="C10" t="s">
        <v>30</v>
      </c>
    </row>
    <row r="11" spans="1:3" x14ac:dyDescent="0.2">
      <c r="A11" t="s">
        <v>22</v>
      </c>
      <c r="B11" t="s">
        <v>31</v>
      </c>
      <c r="C11" t="s">
        <v>32</v>
      </c>
    </row>
    <row r="12" spans="1:3" x14ac:dyDescent="0.2">
      <c r="A12" t="s">
        <v>22</v>
      </c>
      <c r="B12" t="s">
        <v>33</v>
      </c>
      <c r="C12" t="s">
        <v>34</v>
      </c>
    </row>
    <row r="13" spans="1:3" x14ac:dyDescent="0.2">
      <c r="A13" t="s">
        <v>22</v>
      </c>
      <c r="B13" t="s">
        <v>35</v>
      </c>
      <c r="C13" t="s">
        <v>36</v>
      </c>
    </row>
    <row r="14" spans="1:3" x14ac:dyDescent="0.2">
      <c r="A14" t="s">
        <v>22</v>
      </c>
      <c r="B14" t="s">
        <v>37</v>
      </c>
      <c r="C14" t="s">
        <v>38</v>
      </c>
    </row>
    <row r="15" spans="1:3" x14ac:dyDescent="0.2">
      <c r="A15" t="s">
        <v>22</v>
      </c>
      <c r="B15" t="s">
        <v>39</v>
      </c>
      <c r="C15" t="s">
        <v>40</v>
      </c>
    </row>
    <row r="16" spans="1:3" x14ac:dyDescent="0.2">
      <c r="A16" t="s">
        <v>22</v>
      </c>
      <c r="B16" t="s">
        <v>41</v>
      </c>
      <c r="C16" t="s">
        <v>42</v>
      </c>
    </row>
    <row r="17" spans="1:3" x14ac:dyDescent="0.2">
      <c r="A17" t="s">
        <v>22</v>
      </c>
      <c r="B17" t="s">
        <v>43</v>
      </c>
      <c r="C17" t="s">
        <v>44</v>
      </c>
    </row>
    <row r="18" spans="1:3" x14ac:dyDescent="0.2">
      <c r="A18" t="s">
        <v>22</v>
      </c>
      <c r="B18" t="s">
        <v>45</v>
      </c>
      <c r="C18" t="s">
        <v>46</v>
      </c>
    </row>
    <row r="19" spans="1:3" x14ac:dyDescent="0.2">
      <c r="A19" t="s">
        <v>22</v>
      </c>
      <c r="B19" t="s">
        <v>47</v>
      </c>
      <c r="C19" t="s">
        <v>48</v>
      </c>
    </row>
    <row r="20" spans="1:3" x14ac:dyDescent="0.2">
      <c r="A20" t="s">
        <v>22</v>
      </c>
      <c r="B20" t="s">
        <v>49</v>
      </c>
      <c r="C20" t="s">
        <v>50</v>
      </c>
    </row>
    <row r="21" spans="1:3" x14ac:dyDescent="0.2">
      <c r="A21" t="s">
        <v>22</v>
      </c>
      <c r="B21" t="s">
        <v>16</v>
      </c>
      <c r="C21" t="s">
        <v>51</v>
      </c>
    </row>
    <row r="22" spans="1:3" x14ac:dyDescent="0.2">
      <c r="A22" t="s">
        <v>22</v>
      </c>
      <c r="B22" t="s">
        <v>52</v>
      </c>
      <c r="C22" t="s">
        <v>53</v>
      </c>
    </row>
    <row r="23" spans="1:3" x14ac:dyDescent="0.2">
      <c r="A23" t="s">
        <v>22</v>
      </c>
      <c r="B23" t="s">
        <v>54</v>
      </c>
      <c r="C23" t="s">
        <v>55</v>
      </c>
    </row>
    <row r="24" spans="1:3" x14ac:dyDescent="0.2">
      <c r="A24" t="s">
        <v>22</v>
      </c>
      <c r="B24" t="s">
        <v>56</v>
      </c>
      <c r="C24" t="s">
        <v>57</v>
      </c>
    </row>
    <row r="25" spans="1:3" x14ac:dyDescent="0.2">
      <c r="A25" t="s">
        <v>22</v>
      </c>
      <c r="B25" t="s">
        <v>58</v>
      </c>
      <c r="C25" t="s">
        <v>59</v>
      </c>
    </row>
    <row r="26" spans="1:3" x14ac:dyDescent="0.2">
      <c r="A26" t="s">
        <v>22</v>
      </c>
      <c r="B26" t="s">
        <v>60</v>
      </c>
      <c r="C26" t="s">
        <v>61</v>
      </c>
    </row>
    <row r="27" spans="1:3" x14ac:dyDescent="0.2">
      <c r="A27" t="s">
        <v>22</v>
      </c>
      <c r="B27" t="s">
        <v>62</v>
      </c>
      <c r="C27" t="s">
        <v>63</v>
      </c>
    </row>
    <row r="28" spans="1:3" x14ac:dyDescent="0.2">
      <c r="A28" t="s">
        <v>22</v>
      </c>
      <c r="B28" t="s">
        <v>64</v>
      </c>
      <c r="C28" t="s">
        <v>65</v>
      </c>
    </row>
    <row r="29" spans="1:3" x14ac:dyDescent="0.2">
      <c r="A29" t="s">
        <v>22</v>
      </c>
      <c r="B29" t="s">
        <v>68</v>
      </c>
      <c r="C29" t="s">
        <v>69</v>
      </c>
    </row>
    <row r="30" spans="1:3" x14ac:dyDescent="0.2">
      <c r="A30" t="s">
        <v>22</v>
      </c>
      <c r="B30" t="s">
        <v>66</v>
      </c>
      <c r="C30" t="s">
        <v>67</v>
      </c>
    </row>
    <row r="31" spans="1:3" x14ac:dyDescent="0.2">
      <c r="A31" t="s">
        <v>22</v>
      </c>
      <c r="B31" t="s">
        <v>70</v>
      </c>
      <c r="C31" t="s">
        <v>71</v>
      </c>
    </row>
    <row r="32" spans="1:3" x14ac:dyDescent="0.2">
      <c r="A32" t="s">
        <v>22</v>
      </c>
      <c r="B32" t="s">
        <v>72</v>
      </c>
      <c r="C32" t="s">
        <v>73</v>
      </c>
    </row>
    <row r="33" spans="1:3" x14ac:dyDescent="0.2">
      <c r="A33" t="s">
        <v>22</v>
      </c>
      <c r="B33" t="s">
        <v>74</v>
      </c>
      <c r="C33" t="s">
        <v>75</v>
      </c>
    </row>
    <row r="34" spans="1:3" x14ac:dyDescent="0.2">
      <c r="A34" t="s">
        <v>22</v>
      </c>
      <c r="B34" t="s">
        <v>76</v>
      </c>
      <c r="C34" t="s">
        <v>77</v>
      </c>
    </row>
    <row r="35" spans="1:3" x14ac:dyDescent="0.2">
      <c r="A35" t="s">
        <v>22</v>
      </c>
      <c r="B35" t="s">
        <v>78</v>
      </c>
      <c r="C35" t="s">
        <v>79</v>
      </c>
    </row>
    <row r="36" spans="1:3" x14ac:dyDescent="0.2">
      <c r="A36" t="s">
        <v>22</v>
      </c>
      <c r="B36" t="s">
        <v>80</v>
      </c>
      <c r="C36" t="s">
        <v>81</v>
      </c>
    </row>
    <row r="37" spans="1:3" x14ac:dyDescent="0.2">
      <c r="A37" t="s">
        <v>22</v>
      </c>
      <c r="B37" t="s">
        <v>82</v>
      </c>
      <c r="C37" t="s">
        <v>83</v>
      </c>
    </row>
    <row r="38" spans="1:3" x14ac:dyDescent="0.2">
      <c r="A38" t="s">
        <v>84</v>
      </c>
      <c r="B38" t="s">
        <v>87</v>
      </c>
      <c r="C38" t="s">
        <v>88</v>
      </c>
    </row>
    <row r="39" spans="1:3" x14ac:dyDescent="0.2">
      <c r="A39" t="s">
        <v>84</v>
      </c>
      <c r="B39" t="s">
        <v>89</v>
      </c>
      <c r="C39" t="s">
        <v>90</v>
      </c>
    </row>
    <row r="40" spans="1:3" x14ac:dyDescent="0.2">
      <c r="A40" t="s">
        <v>86</v>
      </c>
      <c r="B40" t="s">
        <v>91</v>
      </c>
      <c r="C40" t="s">
        <v>92</v>
      </c>
    </row>
    <row r="41" spans="1:3" x14ac:dyDescent="0.2">
      <c r="A41" t="s">
        <v>194</v>
      </c>
      <c r="B41" t="s">
        <v>196</v>
      </c>
      <c r="C41" t="s">
        <v>197</v>
      </c>
    </row>
    <row r="42" spans="1:3" x14ac:dyDescent="0.2">
      <c r="A42" t="s">
        <v>194</v>
      </c>
      <c r="B42" t="s">
        <v>200</v>
      </c>
      <c r="C42" t="s">
        <v>201</v>
      </c>
    </row>
    <row r="43" spans="1:3" x14ac:dyDescent="0.2">
      <c r="A43" t="s">
        <v>194</v>
      </c>
      <c r="B43" t="s">
        <v>204</v>
      </c>
      <c r="C43" t="s">
        <v>205</v>
      </c>
    </row>
    <row r="44" spans="1:3" x14ac:dyDescent="0.2">
      <c r="A44" t="s">
        <v>194</v>
      </c>
      <c r="B44" t="s">
        <v>208</v>
      </c>
      <c r="C44" t="s">
        <v>209</v>
      </c>
    </row>
    <row r="45" spans="1:3" x14ac:dyDescent="0.2">
      <c r="A45" t="s">
        <v>194</v>
      </c>
      <c r="B45" t="s">
        <v>212</v>
      </c>
      <c r="C45" t="s">
        <v>213</v>
      </c>
    </row>
    <row r="46" spans="1:3" x14ac:dyDescent="0.2">
      <c r="A46" t="s">
        <v>194</v>
      </c>
      <c r="B46" t="s">
        <v>216</v>
      </c>
      <c r="C46" t="s">
        <v>217</v>
      </c>
    </row>
    <row r="47" spans="1:3" x14ac:dyDescent="0.2">
      <c r="A47" t="s">
        <v>194</v>
      </c>
      <c r="B47" t="s">
        <v>220</v>
      </c>
      <c r="C47" t="s">
        <v>221</v>
      </c>
    </row>
    <row r="48" spans="1:3" x14ac:dyDescent="0.2">
      <c r="A48" t="s">
        <v>194</v>
      </c>
      <c r="B48" t="s">
        <v>224</v>
      </c>
      <c r="C48" t="s">
        <v>225</v>
      </c>
    </row>
    <row r="49" spans="1:3" x14ac:dyDescent="0.2">
      <c r="A49" t="s">
        <v>194</v>
      </c>
      <c r="B49" t="s">
        <v>228</v>
      </c>
      <c r="C49" t="s">
        <v>229</v>
      </c>
    </row>
    <row r="50" spans="1:3" x14ac:dyDescent="0.2">
      <c r="A50" t="s">
        <v>194</v>
      </c>
      <c r="B50" t="s">
        <v>232</v>
      </c>
      <c r="C50" t="s">
        <v>233</v>
      </c>
    </row>
    <row r="51" spans="1:3" x14ac:dyDescent="0.2">
      <c r="A51" t="s">
        <v>194</v>
      </c>
      <c r="B51" t="s">
        <v>236</v>
      </c>
      <c r="C51" t="s">
        <v>237</v>
      </c>
    </row>
    <row r="52" spans="1:3" x14ac:dyDescent="0.2">
      <c r="A52" t="s">
        <v>194</v>
      </c>
      <c r="B52" t="s">
        <v>240</v>
      </c>
      <c r="C52" t="s">
        <v>241</v>
      </c>
    </row>
    <row r="53" spans="1:3" x14ac:dyDescent="0.2">
      <c r="A53" t="s">
        <v>194</v>
      </c>
      <c r="B53" t="s">
        <v>244</v>
      </c>
      <c r="C53" t="s">
        <v>245</v>
      </c>
    </row>
    <row r="54" spans="1:3" x14ac:dyDescent="0.2">
      <c r="A54" t="s">
        <v>194</v>
      </c>
      <c r="B54" t="s">
        <v>248</v>
      </c>
      <c r="C54" t="s">
        <v>249</v>
      </c>
    </row>
    <row r="55" spans="1:3" x14ac:dyDescent="0.2">
      <c r="A55" t="s">
        <v>194</v>
      </c>
      <c r="B55" t="s">
        <v>252</v>
      </c>
      <c r="C55" t="s">
        <v>253</v>
      </c>
    </row>
    <row r="56" spans="1:3" x14ac:dyDescent="0.2">
      <c r="A56" t="s">
        <v>194</v>
      </c>
      <c r="B56" t="s">
        <v>256</v>
      </c>
      <c r="C56" t="s">
        <v>257</v>
      </c>
    </row>
    <row r="57" spans="1:3" x14ac:dyDescent="0.2">
      <c r="A57" t="s">
        <v>194</v>
      </c>
      <c r="B57" t="s">
        <v>260</v>
      </c>
      <c r="C57" t="s">
        <v>261</v>
      </c>
    </row>
    <row r="58" spans="1:3" x14ac:dyDescent="0.2">
      <c r="A58" t="s">
        <v>194</v>
      </c>
      <c r="B58" t="s">
        <v>264</v>
      </c>
      <c r="C58" t="s">
        <v>265</v>
      </c>
    </row>
    <row r="59" spans="1:3" x14ac:dyDescent="0.2">
      <c r="A59" t="s">
        <v>194</v>
      </c>
      <c r="B59" t="s">
        <v>268</v>
      </c>
      <c r="C59" t="s">
        <v>269</v>
      </c>
    </row>
    <row r="60" spans="1:3" x14ac:dyDescent="0.2">
      <c r="A60" t="s">
        <v>194</v>
      </c>
      <c r="B60" t="s">
        <v>272</v>
      </c>
      <c r="C60" t="s">
        <v>273</v>
      </c>
    </row>
    <row r="61" spans="1:3" x14ac:dyDescent="0.2">
      <c r="A61" t="s">
        <v>194</v>
      </c>
      <c r="B61" t="s">
        <v>279</v>
      </c>
      <c r="C61" t="s">
        <v>280</v>
      </c>
    </row>
    <row r="62" spans="1:3" x14ac:dyDescent="0.2">
      <c r="A62" t="s">
        <v>194</v>
      </c>
      <c r="B62" t="s">
        <v>283</v>
      </c>
      <c r="C62" t="s">
        <v>284</v>
      </c>
    </row>
    <row r="63" spans="1:3" x14ac:dyDescent="0.2">
      <c r="A63" t="s">
        <v>194</v>
      </c>
      <c r="B63" t="s">
        <v>287</v>
      </c>
      <c r="C63" t="s">
        <v>288</v>
      </c>
    </row>
    <row r="64" spans="1:3" x14ac:dyDescent="0.2">
      <c r="A64" t="s">
        <v>194</v>
      </c>
      <c r="B64" t="s">
        <v>291</v>
      </c>
      <c r="C64" t="s">
        <v>292</v>
      </c>
    </row>
    <row r="65" spans="1:3" x14ac:dyDescent="0.2">
      <c r="A65" t="s">
        <v>194</v>
      </c>
      <c r="B65" t="s">
        <v>295</v>
      </c>
      <c r="C65" t="s">
        <v>296</v>
      </c>
    </row>
    <row r="66" spans="1:3" x14ac:dyDescent="0.2">
      <c r="A66" t="s">
        <v>194</v>
      </c>
      <c r="B66" t="s">
        <v>299</v>
      </c>
      <c r="C66" t="s">
        <v>300</v>
      </c>
    </row>
    <row r="67" spans="1:3" x14ac:dyDescent="0.2">
      <c r="A67" t="s">
        <v>11</v>
      </c>
      <c r="B67" t="s">
        <v>304</v>
      </c>
      <c r="C67" t="s">
        <v>305</v>
      </c>
    </row>
    <row r="68" spans="1:3" x14ac:dyDescent="0.2">
      <c r="A68" t="s">
        <v>11</v>
      </c>
      <c r="B68" t="s">
        <v>308</v>
      </c>
      <c r="C68" t="s">
        <v>309</v>
      </c>
    </row>
    <row r="69" spans="1:3" x14ac:dyDescent="0.2">
      <c r="A69" t="s">
        <v>11</v>
      </c>
      <c r="B69" t="s">
        <v>312</v>
      </c>
      <c r="C69" t="s">
        <v>313</v>
      </c>
    </row>
    <row r="70" spans="1:3" x14ac:dyDescent="0.2">
      <c r="A70" t="s">
        <v>11</v>
      </c>
      <c r="B70" t="s">
        <v>317</v>
      </c>
      <c r="C70" t="s">
        <v>318</v>
      </c>
    </row>
    <row r="71" spans="1:3" x14ac:dyDescent="0.2">
      <c r="A71" t="s">
        <v>11</v>
      </c>
      <c r="B71" t="s">
        <v>338</v>
      </c>
      <c r="C71" t="s">
        <v>321</v>
      </c>
    </row>
  </sheetData>
  <conditionalFormatting sqref="B2:B71">
    <cfRule type="duplicateValues" dxfId="0" priority="2"/>
  </conditionalFormatting>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2580-B76F-C343-B03F-11C3F5114A5B}">
  <dimension ref="A1:N72"/>
  <sheetViews>
    <sheetView zoomScale="104" workbookViewId="0">
      <selection activeCell="A2" sqref="A2"/>
    </sheetView>
  </sheetViews>
  <sheetFormatPr baseColWidth="10" defaultRowHeight="16" x14ac:dyDescent="0.2"/>
  <cols>
    <col min="1" max="1" width="11.1640625" customWidth="1"/>
    <col min="2" max="4" width="14" customWidth="1"/>
    <col min="5" max="5" width="21.1640625" customWidth="1"/>
    <col min="7" max="7" width="12.1640625" customWidth="1"/>
    <col min="8" max="8" width="9.6640625" customWidth="1"/>
    <col min="9" max="9" width="18.33203125" customWidth="1"/>
    <col min="10" max="10" width="19.83203125" customWidth="1"/>
    <col min="11" max="11" width="8.83203125" customWidth="1"/>
    <col min="12" max="12" width="10.83203125" customWidth="1"/>
    <col min="13" max="13" width="13.5" customWidth="1"/>
    <col min="14" max="14" width="19.83203125" customWidth="1"/>
  </cols>
  <sheetData>
    <row r="1" spans="1:14" s="4" customFormat="1" x14ac:dyDescent="0.2">
      <c r="G1" s="29" t="s">
        <v>339</v>
      </c>
      <c r="H1" s="30"/>
      <c r="I1" s="30"/>
      <c r="J1" s="30"/>
      <c r="K1" s="30"/>
      <c r="L1" s="30"/>
      <c r="M1" s="30"/>
      <c r="N1" s="30"/>
    </row>
    <row r="2" spans="1:14" s="21" customFormat="1" x14ac:dyDescent="0.2">
      <c r="A2" s="21" t="s">
        <v>192</v>
      </c>
      <c r="B2" s="21" t="s">
        <v>191</v>
      </c>
      <c r="C2" s="21" t="s">
        <v>190</v>
      </c>
      <c r="D2" s="21" t="s">
        <v>189</v>
      </c>
      <c r="E2" s="21" t="s">
        <v>188</v>
      </c>
      <c r="F2" s="21" t="s">
        <v>187</v>
      </c>
      <c r="G2" s="26" t="s">
        <v>324</v>
      </c>
      <c r="H2" s="26" t="s">
        <v>325</v>
      </c>
      <c r="I2" s="21" t="s">
        <v>186</v>
      </c>
      <c r="J2" s="26" t="s">
        <v>326</v>
      </c>
      <c r="K2" s="21" t="s">
        <v>185</v>
      </c>
      <c r="L2" s="21" t="s">
        <v>184</v>
      </c>
      <c r="M2" s="21" t="s">
        <v>183</v>
      </c>
      <c r="N2" s="26" t="s">
        <v>328</v>
      </c>
    </row>
    <row r="3" spans="1:14" x14ac:dyDescent="0.2">
      <c r="A3">
        <v>1</v>
      </c>
      <c r="B3" t="s">
        <v>176</v>
      </c>
      <c r="C3" t="s">
        <v>180</v>
      </c>
      <c r="D3" t="s">
        <v>179</v>
      </c>
      <c r="E3" t="s">
        <v>10</v>
      </c>
      <c r="F3" s="3" t="s">
        <v>3</v>
      </c>
      <c r="G3">
        <v>1</v>
      </c>
      <c r="H3">
        <v>1</v>
      </c>
      <c r="I3">
        <v>1</v>
      </c>
      <c r="J3">
        <v>1</v>
      </c>
      <c r="K3">
        <v>1</v>
      </c>
      <c r="M3">
        <v>1</v>
      </c>
      <c r="N3">
        <v>1</v>
      </c>
    </row>
    <row r="4" spans="1:14" x14ac:dyDescent="0.2">
      <c r="A4">
        <v>2</v>
      </c>
      <c r="B4" t="s">
        <v>176</v>
      </c>
      <c r="C4" t="s">
        <v>178</v>
      </c>
      <c r="D4" t="s">
        <v>177</v>
      </c>
      <c r="E4" t="s">
        <v>10</v>
      </c>
      <c r="F4" s="3" t="s">
        <v>5</v>
      </c>
      <c r="G4">
        <v>1</v>
      </c>
      <c r="I4">
        <v>1</v>
      </c>
      <c r="J4">
        <v>1</v>
      </c>
      <c r="K4">
        <v>1</v>
      </c>
      <c r="M4">
        <v>1</v>
      </c>
      <c r="N4">
        <v>1</v>
      </c>
    </row>
    <row r="5" spans="1:14" x14ac:dyDescent="0.2">
      <c r="A5">
        <v>3</v>
      </c>
      <c r="B5" t="s">
        <v>176</v>
      </c>
      <c r="C5" t="s">
        <v>12</v>
      </c>
      <c r="D5" t="s">
        <v>175</v>
      </c>
      <c r="E5" t="s">
        <v>10</v>
      </c>
      <c r="F5" s="3" t="s">
        <v>9</v>
      </c>
      <c r="G5">
        <v>1</v>
      </c>
      <c r="I5">
        <v>1</v>
      </c>
      <c r="J5">
        <v>1</v>
      </c>
      <c r="K5">
        <v>1</v>
      </c>
      <c r="M5">
        <v>1</v>
      </c>
      <c r="N5">
        <v>1</v>
      </c>
    </row>
    <row r="6" spans="1:14" x14ac:dyDescent="0.2">
      <c r="A6">
        <v>4</v>
      </c>
      <c r="B6" t="s">
        <v>100</v>
      </c>
      <c r="C6" t="s">
        <v>174</v>
      </c>
      <c r="D6" t="s">
        <v>173</v>
      </c>
      <c r="E6" t="s">
        <v>10</v>
      </c>
      <c r="F6" s="3" t="s">
        <v>17</v>
      </c>
      <c r="G6">
        <v>1</v>
      </c>
      <c r="H6">
        <v>1</v>
      </c>
      <c r="I6">
        <v>1</v>
      </c>
      <c r="J6">
        <v>1</v>
      </c>
      <c r="K6">
        <v>1</v>
      </c>
      <c r="L6">
        <v>1</v>
      </c>
      <c r="M6">
        <v>1</v>
      </c>
      <c r="N6">
        <v>1</v>
      </c>
    </row>
    <row r="7" spans="1:14" x14ac:dyDescent="0.2">
      <c r="A7">
        <v>5</v>
      </c>
      <c r="B7" t="s">
        <v>100</v>
      </c>
      <c r="C7" t="s">
        <v>172</v>
      </c>
      <c r="D7" t="s">
        <v>171</v>
      </c>
      <c r="E7" t="s">
        <v>10</v>
      </c>
      <c r="F7" s="3" t="s">
        <v>18</v>
      </c>
      <c r="G7">
        <v>1</v>
      </c>
      <c r="H7">
        <v>1</v>
      </c>
      <c r="I7">
        <v>1</v>
      </c>
      <c r="J7">
        <v>1</v>
      </c>
      <c r="K7">
        <v>1</v>
      </c>
      <c r="L7">
        <v>1</v>
      </c>
      <c r="M7">
        <v>1</v>
      </c>
      <c r="N7">
        <v>1</v>
      </c>
    </row>
    <row r="8" spans="1:14" x14ac:dyDescent="0.2">
      <c r="A8">
        <v>6</v>
      </c>
      <c r="B8" t="s">
        <v>100</v>
      </c>
      <c r="C8" t="s">
        <v>170</v>
      </c>
      <c r="D8" t="s">
        <v>169</v>
      </c>
      <c r="E8" t="s">
        <v>10</v>
      </c>
      <c r="F8" s="3" t="s">
        <v>20</v>
      </c>
      <c r="G8">
        <v>1</v>
      </c>
      <c r="H8">
        <v>1</v>
      </c>
      <c r="I8">
        <v>1</v>
      </c>
      <c r="J8">
        <v>1</v>
      </c>
      <c r="K8">
        <v>1</v>
      </c>
      <c r="M8">
        <v>1</v>
      </c>
      <c r="N8">
        <v>1</v>
      </c>
    </row>
    <row r="9" spans="1:14" x14ac:dyDescent="0.2">
      <c r="A9">
        <v>7</v>
      </c>
      <c r="B9" t="s">
        <v>145</v>
      </c>
      <c r="C9" t="s">
        <v>168</v>
      </c>
      <c r="D9" t="s">
        <v>167</v>
      </c>
      <c r="E9" t="s">
        <v>22</v>
      </c>
      <c r="F9" s="3" t="s">
        <v>23</v>
      </c>
      <c r="G9">
        <v>1</v>
      </c>
      <c r="I9">
        <v>1</v>
      </c>
      <c r="J9">
        <v>1</v>
      </c>
      <c r="K9">
        <v>1</v>
      </c>
      <c r="M9">
        <v>1</v>
      </c>
      <c r="N9">
        <v>1</v>
      </c>
    </row>
    <row r="10" spans="1:14" x14ac:dyDescent="0.2">
      <c r="A10">
        <v>8</v>
      </c>
      <c r="B10" t="s">
        <v>166</v>
      </c>
      <c r="C10" t="s">
        <v>165</v>
      </c>
      <c r="D10" t="s">
        <v>164</v>
      </c>
      <c r="E10" t="s">
        <v>22</v>
      </c>
      <c r="F10" s="3" t="s">
        <v>26</v>
      </c>
      <c r="G10">
        <v>1</v>
      </c>
      <c r="H10">
        <v>1</v>
      </c>
      <c r="I10">
        <v>1</v>
      </c>
      <c r="J10">
        <v>1</v>
      </c>
      <c r="K10">
        <v>1</v>
      </c>
      <c r="M10">
        <v>1</v>
      </c>
      <c r="N10">
        <v>1</v>
      </c>
    </row>
    <row r="11" spans="1:14" x14ac:dyDescent="0.2">
      <c r="A11">
        <v>9</v>
      </c>
      <c r="B11" t="s">
        <v>107</v>
      </c>
      <c r="C11" t="s">
        <v>163</v>
      </c>
      <c r="D11" t="s">
        <v>161</v>
      </c>
      <c r="E11" t="s">
        <v>22</v>
      </c>
      <c r="F11" s="3" t="s">
        <v>30</v>
      </c>
      <c r="G11">
        <v>1</v>
      </c>
      <c r="I11">
        <v>1</v>
      </c>
      <c r="J11">
        <v>1</v>
      </c>
      <c r="K11">
        <v>1</v>
      </c>
      <c r="L11">
        <v>1</v>
      </c>
      <c r="M11">
        <v>1</v>
      </c>
      <c r="N11">
        <v>1</v>
      </c>
    </row>
    <row r="12" spans="1:14" x14ac:dyDescent="0.2">
      <c r="A12">
        <v>10</v>
      </c>
      <c r="B12" t="s">
        <v>107</v>
      </c>
      <c r="C12" t="s">
        <v>162</v>
      </c>
      <c r="D12" t="s">
        <v>161</v>
      </c>
      <c r="E12" t="s">
        <v>22</v>
      </c>
      <c r="F12" s="3" t="s">
        <v>32</v>
      </c>
      <c r="G12">
        <v>1</v>
      </c>
      <c r="I12">
        <v>1</v>
      </c>
      <c r="J12">
        <v>1</v>
      </c>
      <c r="K12">
        <v>1</v>
      </c>
      <c r="L12">
        <v>1</v>
      </c>
      <c r="M12">
        <v>1</v>
      </c>
      <c r="N12">
        <v>1</v>
      </c>
    </row>
    <row r="13" spans="1:14" x14ac:dyDescent="0.2">
      <c r="A13">
        <v>11</v>
      </c>
      <c r="B13" t="s">
        <v>140</v>
      </c>
      <c r="C13" t="s">
        <v>160</v>
      </c>
      <c r="D13" t="s">
        <v>159</v>
      </c>
      <c r="E13" t="s">
        <v>22</v>
      </c>
      <c r="F13" s="3" t="s">
        <v>34</v>
      </c>
      <c r="G13">
        <v>1</v>
      </c>
      <c r="I13">
        <v>1</v>
      </c>
      <c r="J13">
        <v>1</v>
      </c>
      <c r="K13">
        <v>1</v>
      </c>
      <c r="L13">
        <v>1</v>
      </c>
      <c r="M13">
        <v>1</v>
      </c>
      <c r="N13">
        <v>1</v>
      </c>
    </row>
    <row r="14" spans="1:14" x14ac:dyDescent="0.2">
      <c r="A14">
        <v>12</v>
      </c>
      <c r="B14" t="s">
        <v>100</v>
      </c>
      <c r="C14" t="s">
        <v>158</v>
      </c>
      <c r="D14" t="s">
        <v>157</v>
      </c>
      <c r="E14" t="s">
        <v>22</v>
      </c>
      <c r="F14" s="3" t="s">
        <v>36</v>
      </c>
      <c r="G14">
        <v>1</v>
      </c>
      <c r="H14">
        <v>1</v>
      </c>
      <c r="I14">
        <v>1</v>
      </c>
      <c r="J14">
        <v>1</v>
      </c>
      <c r="K14">
        <v>1</v>
      </c>
      <c r="L14">
        <v>1</v>
      </c>
      <c r="N14">
        <v>1</v>
      </c>
    </row>
    <row r="15" spans="1:14" x14ac:dyDescent="0.2">
      <c r="A15">
        <v>13</v>
      </c>
      <c r="B15" t="s">
        <v>119</v>
      </c>
      <c r="C15" t="s">
        <v>156</v>
      </c>
      <c r="D15" t="s">
        <v>155</v>
      </c>
      <c r="E15" t="s">
        <v>22</v>
      </c>
      <c r="F15" s="3" t="s">
        <v>38</v>
      </c>
      <c r="G15">
        <v>1</v>
      </c>
      <c r="H15">
        <v>1</v>
      </c>
      <c r="I15">
        <v>1</v>
      </c>
      <c r="J15">
        <v>1</v>
      </c>
      <c r="K15">
        <v>1</v>
      </c>
    </row>
    <row r="16" spans="1:14" x14ac:dyDescent="0.2">
      <c r="A16">
        <v>14</v>
      </c>
      <c r="B16" t="s">
        <v>107</v>
      </c>
      <c r="C16" t="s">
        <v>154</v>
      </c>
      <c r="D16" t="s">
        <v>153</v>
      </c>
      <c r="E16" t="s">
        <v>22</v>
      </c>
      <c r="F16" s="2" t="s">
        <v>40</v>
      </c>
      <c r="G16">
        <v>1</v>
      </c>
      <c r="I16">
        <v>1</v>
      </c>
      <c r="J16">
        <v>1</v>
      </c>
      <c r="K16">
        <v>1</v>
      </c>
      <c r="N16">
        <v>1</v>
      </c>
    </row>
    <row r="17" spans="1:14" x14ac:dyDescent="0.2">
      <c r="A17">
        <v>15</v>
      </c>
      <c r="B17" t="s">
        <v>145</v>
      </c>
      <c r="C17" t="s">
        <v>152</v>
      </c>
      <c r="D17" t="s">
        <v>151</v>
      </c>
      <c r="E17" t="s">
        <v>22</v>
      </c>
      <c r="F17" s="2" t="s">
        <v>42</v>
      </c>
      <c r="G17">
        <v>1</v>
      </c>
      <c r="H17">
        <v>1</v>
      </c>
      <c r="I17">
        <v>1</v>
      </c>
      <c r="J17">
        <v>1</v>
      </c>
      <c r="K17">
        <v>1</v>
      </c>
      <c r="M17">
        <v>1</v>
      </c>
      <c r="N17">
        <v>1</v>
      </c>
    </row>
    <row r="18" spans="1:14" x14ac:dyDescent="0.2">
      <c r="A18">
        <v>16</v>
      </c>
      <c r="B18" t="s">
        <v>116</v>
      </c>
      <c r="C18" t="s">
        <v>150</v>
      </c>
      <c r="D18" t="s">
        <v>149</v>
      </c>
      <c r="E18" t="s">
        <v>22</v>
      </c>
      <c r="F18" s="2" t="s">
        <v>44</v>
      </c>
      <c r="G18">
        <v>1</v>
      </c>
      <c r="H18">
        <v>1</v>
      </c>
      <c r="I18">
        <v>1</v>
      </c>
      <c r="J18">
        <v>1</v>
      </c>
      <c r="K18">
        <v>1</v>
      </c>
      <c r="M18">
        <v>1</v>
      </c>
      <c r="N18">
        <v>1</v>
      </c>
    </row>
    <row r="19" spans="1:14" x14ac:dyDescent="0.2">
      <c r="A19">
        <v>17</v>
      </c>
      <c r="B19" t="s">
        <v>148</v>
      </c>
      <c r="C19" t="s">
        <v>147</v>
      </c>
      <c r="D19" t="s">
        <v>146</v>
      </c>
      <c r="E19" t="s">
        <v>22</v>
      </c>
      <c r="F19" s="2" t="s">
        <v>46</v>
      </c>
      <c r="G19">
        <v>1</v>
      </c>
      <c r="H19">
        <v>1</v>
      </c>
      <c r="I19">
        <v>1</v>
      </c>
      <c r="J19">
        <v>1</v>
      </c>
      <c r="K19">
        <v>1</v>
      </c>
      <c r="N19">
        <v>1</v>
      </c>
    </row>
    <row r="20" spans="1:14" x14ac:dyDescent="0.2">
      <c r="A20">
        <v>18</v>
      </c>
      <c r="B20" t="s">
        <v>145</v>
      </c>
      <c r="C20" t="s">
        <v>144</v>
      </c>
      <c r="D20" t="s">
        <v>143</v>
      </c>
      <c r="E20" t="s">
        <v>22</v>
      </c>
      <c r="F20" s="2" t="s">
        <v>48</v>
      </c>
      <c r="G20">
        <v>1</v>
      </c>
      <c r="H20">
        <v>1</v>
      </c>
      <c r="I20">
        <v>1</v>
      </c>
      <c r="J20">
        <v>1</v>
      </c>
      <c r="K20">
        <v>1</v>
      </c>
      <c r="M20">
        <v>1</v>
      </c>
      <c r="N20">
        <v>1</v>
      </c>
    </row>
    <row r="21" spans="1:14" x14ac:dyDescent="0.2">
      <c r="A21">
        <v>19</v>
      </c>
      <c r="B21" t="s">
        <v>107</v>
      </c>
      <c r="C21" t="s">
        <v>142</v>
      </c>
      <c r="D21" t="s">
        <v>141</v>
      </c>
      <c r="E21" t="s">
        <v>22</v>
      </c>
      <c r="F21" s="2" t="s">
        <v>50</v>
      </c>
      <c r="G21">
        <v>1</v>
      </c>
      <c r="H21">
        <v>1</v>
      </c>
      <c r="I21">
        <v>1</v>
      </c>
      <c r="J21">
        <v>1</v>
      </c>
      <c r="K21">
        <v>1</v>
      </c>
      <c r="N21">
        <v>1</v>
      </c>
    </row>
    <row r="22" spans="1:14" x14ac:dyDescent="0.2">
      <c r="A22">
        <v>20</v>
      </c>
      <c r="B22" t="s">
        <v>140</v>
      </c>
      <c r="C22" t="s">
        <v>139</v>
      </c>
      <c r="D22" t="s">
        <v>138</v>
      </c>
      <c r="E22" t="s">
        <v>22</v>
      </c>
      <c r="F22" s="2" t="s">
        <v>53</v>
      </c>
      <c r="G22">
        <v>1</v>
      </c>
      <c r="H22">
        <v>1</v>
      </c>
      <c r="I22">
        <v>1</v>
      </c>
      <c r="J22">
        <v>1</v>
      </c>
      <c r="K22">
        <v>1</v>
      </c>
      <c r="L22">
        <v>1</v>
      </c>
      <c r="M22">
        <v>1</v>
      </c>
      <c r="N22">
        <v>1</v>
      </c>
    </row>
    <row r="23" spans="1:14" x14ac:dyDescent="0.2">
      <c r="A23">
        <v>21</v>
      </c>
      <c r="B23" t="s">
        <v>100</v>
      </c>
      <c r="C23" t="s">
        <v>137</v>
      </c>
      <c r="D23" t="s">
        <v>136</v>
      </c>
      <c r="E23" t="s">
        <v>22</v>
      </c>
      <c r="F23" s="2" t="s">
        <v>55</v>
      </c>
      <c r="G23">
        <v>1</v>
      </c>
      <c r="H23">
        <v>1</v>
      </c>
      <c r="I23">
        <v>1</v>
      </c>
      <c r="J23">
        <v>1</v>
      </c>
      <c r="K23">
        <v>1</v>
      </c>
      <c r="M23">
        <v>1</v>
      </c>
      <c r="N23">
        <v>1</v>
      </c>
    </row>
    <row r="24" spans="1:14" x14ac:dyDescent="0.2">
      <c r="A24">
        <v>22</v>
      </c>
      <c r="B24" t="s">
        <v>116</v>
      </c>
      <c r="C24" t="s">
        <v>135</v>
      </c>
      <c r="D24" t="s">
        <v>134</v>
      </c>
      <c r="E24" t="s">
        <v>22</v>
      </c>
      <c r="F24" s="2" t="s">
        <v>57</v>
      </c>
      <c r="G24">
        <v>1</v>
      </c>
      <c r="H24">
        <v>1</v>
      </c>
      <c r="I24">
        <v>1</v>
      </c>
      <c r="J24">
        <v>1</v>
      </c>
      <c r="K24">
        <v>1</v>
      </c>
      <c r="L24">
        <v>1</v>
      </c>
    </row>
    <row r="25" spans="1:14" x14ac:dyDescent="0.2">
      <c r="A25">
        <v>23</v>
      </c>
      <c r="B25" t="s">
        <v>116</v>
      </c>
      <c r="C25" t="s">
        <v>133</v>
      </c>
      <c r="D25" t="s">
        <v>132</v>
      </c>
      <c r="E25" t="s">
        <v>22</v>
      </c>
      <c r="F25" s="2" t="s">
        <v>59</v>
      </c>
      <c r="G25">
        <v>1</v>
      </c>
      <c r="H25">
        <v>1</v>
      </c>
      <c r="I25">
        <v>1</v>
      </c>
      <c r="J25">
        <v>1</v>
      </c>
      <c r="K25">
        <v>1</v>
      </c>
      <c r="L25">
        <v>1</v>
      </c>
      <c r="M25">
        <v>1</v>
      </c>
      <c r="N25">
        <v>1</v>
      </c>
    </row>
    <row r="26" spans="1:14" x14ac:dyDescent="0.2">
      <c r="A26">
        <v>24</v>
      </c>
      <c r="B26" t="s">
        <v>131</v>
      </c>
      <c r="C26" t="s">
        <v>130</v>
      </c>
      <c r="D26" t="s">
        <v>129</v>
      </c>
      <c r="E26" t="s">
        <v>22</v>
      </c>
      <c r="F26" s="2" t="s">
        <v>61</v>
      </c>
      <c r="G26">
        <v>1</v>
      </c>
      <c r="I26">
        <v>1</v>
      </c>
      <c r="J26">
        <v>1</v>
      </c>
      <c r="K26">
        <v>1</v>
      </c>
      <c r="L26">
        <v>1</v>
      </c>
      <c r="N26">
        <v>1</v>
      </c>
    </row>
    <row r="27" spans="1:14" x14ac:dyDescent="0.2">
      <c r="A27">
        <v>25</v>
      </c>
      <c r="B27" t="s">
        <v>116</v>
      </c>
      <c r="C27" t="s">
        <v>128</v>
      </c>
      <c r="D27" t="s">
        <v>127</v>
      </c>
      <c r="E27" t="s">
        <v>22</v>
      </c>
      <c r="F27" s="2" t="s">
        <v>63</v>
      </c>
      <c r="G27">
        <v>1</v>
      </c>
      <c r="I27">
        <v>1</v>
      </c>
      <c r="J27">
        <v>1</v>
      </c>
      <c r="K27">
        <v>1</v>
      </c>
      <c r="M27">
        <v>1</v>
      </c>
      <c r="N27">
        <v>1</v>
      </c>
    </row>
    <row r="28" spans="1:14" x14ac:dyDescent="0.2">
      <c r="A28">
        <v>26</v>
      </c>
      <c r="B28" t="s">
        <v>116</v>
      </c>
      <c r="C28" t="s">
        <v>126</v>
      </c>
      <c r="D28" t="s">
        <v>125</v>
      </c>
      <c r="E28" t="s">
        <v>22</v>
      </c>
      <c r="F28" s="2" t="s">
        <v>65</v>
      </c>
      <c r="G28">
        <v>1</v>
      </c>
      <c r="I28">
        <v>1</v>
      </c>
      <c r="J28">
        <v>1</v>
      </c>
      <c r="K28">
        <v>1</v>
      </c>
      <c r="L28">
        <v>1</v>
      </c>
      <c r="M28">
        <v>1</v>
      </c>
      <c r="N28">
        <v>1</v>
      </c>
    </row>
    <row r="29" spans="1:14" x14ac:dyDescent="0.2">
      <c r="A29">
        <v>27</v>
      </c>
      <c r="B29" t="s">
        <v>116</v>
      </c>
      <c r="C29" t="s">
        <v>124</v>
      </c>
      <c r="D29" t="s">
        <v>123</v>
      </c>
      <c r="E29" t="s">
        <v>22</v>
      </c>
      <c r="F29" s="2" t="s">
        <v>69</v>
      </c>
      <c r="G29">
        <v>1</v>
      </c>
      <c r="I29">
        <v>1</v>
      </c>
      <c r="J29">
        <v>1</v>
      </c>
      <c r="K29">
        <v>1</v>
      </c>
      <c r="M29">
        <v>1</v>
      </c>
      <c r="N29">
        <v>1</v>
      </c>
    </row>
    <row r="30" spans="1:14" x14ac:dyDescent="0.2">
      <c r="A30">
        <v>28</v>
      </c>
      <c r="B30" t="s">
        <v>116</v>
      </c>
      <c r="C30" t="s">
        <v>122</v>
      </c>
      <c r="D30" t="s">
        <v>122</v>
      </c>
      <c r="E30" t="s">
        <v>22</v>
      </c>
      <c r="F30" s="2" t="s">
        <v>67</v>
      </c>
      <c r="G30">
        <v>1</v>
      </c>
      <c r="I30">
        <v>1</v>
      </c>
      <c r="J30">
        <v>1</v>
      </c>
      <c r="K30">
        <v>1</v>
      </c>
      <c r="N30">
        <v>1</v>
      </c>
    </row>
    <row r="31" spans="1:14" x14ac:dyDescent="0.2">
      <c r="A31">
        <v>29</v>
      </c>
      <c r="B31" t="s">
        <v>116</v>
      </c>
      <c r="C31" t="s">
        <v>121</v>
      </c>
      <c r="D31" t="s">
        <v>120</v>
      </c>
      <c r="E31" t="s">
        <v>22</v>
      </c>
      <c r="F31" s="2" t="s">
        <v>71</v>
      </c>
      <c r="G31">
        <v>1</v>
      </c>
      <c r="I31">
        <v>1</v>
      </c>
      <c r="J31">
        <v>1</v>
      </c>
      <c r="K31">
        <v>1</v>
      </c>
      <c r="M31">
        <v>1</v>
      </c>
      <c r="N31">
        <v>1</v>
      </c>
    </row>
    <row r="32" spans="1:14" x14ac:dyDescent="0.2">
      <c r="A32">
        <v>30</v>
      </c>
      <c r="B32" t="s">
        <v>119</v>
      </c>
      <c r="C32" t="s">
        <v>118</v>
      </c>
      <c r="D32" t="s">
        <v>117</v>
      </c>
      <c r="E32" t="s">
        <v>22</v>
      </c>
      <c r="F32" s="2" t="s">
        <v>73</v>
      </c>
      <c r="G32">
        <v>1</v>
      </c>
      <c r="I32">
        <v>1</v>
      </c>
      <c r="J32">
        <v>1</v>
      </c>
      <c r="K32">
        <v>1</v>
      </c>
      <c r="N32">
        <v>1</v>
      </c>
    </row>
    <row r="33" spans="1:14" x14ac:dyDescent="0.2">
      <c r="A33">
        <v>31</v>
      </c>
      <c r="B33" t="s">
        <v>116</v>
      </c>
      <c r="C33" t="s">
        <v>115</v>
      </c>
      <c r="D33" t="s">
        <v>114</v>
      </c>
      <c r="E33" t="s">
        <v>22</v>
      </c>
      <c r="F33" s="2" t="s">
        <v>75</v>
      </c>
      <c r="G33">
        <v>1</v>
      </c>
      <c r="I33">
        <v>1</v>
      </c>
      <c r="J33">
        <v>1</v>
      </c>
      <c r="K33">
        <v>1</v>
      </c>
      <c r="N33">
        <v>1</v>
      </c>
    </row>
    <row r="34" spans="1:14" x14ac:dyDescent="0.2">
      <c r="A34">
        <v>32</v>
      </c>
      <c r="B34" t="s">
        <v>113</v>
      </c>
      <c r="C34" t="s">
        <v>112</v>
      </c>
      <c r="D34" t="s">
        <v>111</v>
      </c>
      <c r="E34" t="s">
        <v>22</v>
      </c>
      <c r="F34" s="2" t="s">
        <v>77</v>
      </c>
      <c r="G34">
        <v>1</v>
      </c>
      <c r="I34">
        <v>1</v>
      </c>
      <c r="J34">
        <v>1</v>
      </c>
      <c r="K34">
        <v>1</v>
      </c>
      <c r="M34">
        <v>1</v>
      </c>
      <c r="N34">
        <v>1</v>
      </c>
    </row>
    <row r="35" spans="1:14" x14ac:dyDescent="0.2">
      <c r="A35">
        <v>33</v>
      </c>
      <c r="B35" t="s">
        <v>110</v>
      </c>
      <c r="C35" t="s">
        <v>109</v>
      </c>
      <c r="D35" t="s">
        <v>108</v>
      </c>
      <c r="E35" t="s">
        <v>22</v>
      </c>
      <c r="F35" s="2" t="s">
        <v>79</v>
      </c>
      <c r="G35">
        <v>1</v>
      </c>
      <c r="I35">
        <v>1</v>
      </c>
      <c r="J35">
        <v>1</v>
      </c>
      <c r="K35">
        <v>1</v>
      </c>
      <c r="N35">
        <v>1</v>
      </c>
    </row>
    <row r="36" spans="1:14" x14ac:dyDescent="0.2">
      <c r="A36">
        <v>34</v>
      </c>
      <c r="B36" t="s">
        <v>107</v>
      </c>
      <c r="C36" t="s">
        <v>106</v>
      </c>
      <c r="D36" t="s">
        <v>105</v>
      </c>
      <c r="E36" t="s">
        <v>22</v>
      </c>
      <c r="F36" s="2" t="s">
        <v>81</v>
      </c>
      <c r="G36">
        <v>1</v>
      </c>
      <c r="I36">
        <v>1</v>
      </c>
      <c r="J36">
        <v>1</v>
      </c>
      <c r="K36">
        <v>1</v>
      </c>
      <c r="N36">
        <v>1</v>
      </c>
    </row>
    <row r="37" spans="1:14" x14ac:dyDescent="0.2">
      <c r="A37">
        <v>35</v>
      </c>
      <c r="B37" t="s">
        <v>97</v>
      </c>
      <c r="C37" t="s">
        <v>104</v>
      </c>
      <c r="D37" t="s">
        <v>103</v>
      </c>
      <c r="E37" t="s">
        <v>22</v>
      </c>
      <c r="F37" s="2" t="s">
        <v>83</v>
      </c>
      <c r="G37">
        <v>1</v>
      </c>
      <c r="I37">
        <v>1</v>
      </c>
      <c r="J37">
        <v>1</v>
      </c>
      <c r="K37">
        <v>1</v>
      </c>
      <c r="N37">
        <v>1</v>
      </c>
    </row>
    <row r="38" spans="1:14" x14ac:dyDescent="0.2">
      <c r="A38">
        <v>36</v>
      </c>
      <c r="B38" t="s">
        <v>100</v>
      </c>
      <c r="C38" t="s">
        <v>102</v>
      </c>
      <c r="D38" t="s">
        <v>101</v>
      </c>
      <c r="E38" t="s">
        <v>84</v>
      </c>
      <c r="F38" s="2" t="s">
        <v>88</v>
      </c>
      <c r="G38">
        <v>1</v>
      </c>
      <c r="H38">
        <v>1</v>
      </c>
      <c r="I38">
        <v>1</v>
      </c>
      <c r="J38">
        <v>1</v>
      </c>
      <c r="K38">
        <v>1</v>
      </c>
      <c r="L38">
        <v>1</v>
      </c>
      <c r="M38">
        <v>1</v>
      </c>
      <c r="N38">
        <v>1</v>
      </c>
    </row>
    <row r="39" spans="1:14" x14ac:dyDescent="0.2">
      <c r="A39">
        <v>37</v>
      </c>
      <c r="B39" t="s">
        <v>100</v>
      </c>
      <c r="C39" t="s">
        <v>99</v>
      </c>
      <c r="D39" t="s">
        <v>98</v>
      </c>
      <c r="E39" t="s">
        <v>84</v>
      </c>
      <c r="F39" s="2" t="s">
        <v>90</v>
      </c>
      <c r="G39">
        <v>1</v>
      </c>
      <c r="H39">
        <v>1</v>
      </c>
      <c r="I39">
        <v>1</v>
      </c>
      <c r="J39">
        <v>1</v>
      </c>
      <c r="K39">
        <v>1</v>
      </c>
      <c r="N39">
        <v>1</v>
      </c>
    </row>
    <row r="40" spans="1:14" x14ac:dyDescent="0.2">
      <c r="A40">
        <v>38</v>
      </c>
      <c r="B40" t="s">
        <v>97</v>
      </c>
      <c r="C40" t="s">
        <v>96</v>
      </c>
      <c r="D40" t="s">
        <v>95</v>
      </c>
      <c r="E40" t="s">
        <v>86</v>
      </c>
      <c r="F40" s="2" t="s">
        <v>92</v>
      </c>
      <c r="G40">
        <v>1</v>
      </c>
      <c r="H40">
        <v>1</v>
      </c>
      <c r="I40">
        <v>1</v>
      </c>
      <c r="J40">
        <v>1</v>
      </c>
      <c r="K40">
        <v>1</v>
      </c>
      <c r="L40">
        <v>1</v>
      </c>
      <c r="M40">
        <v>1</v>
      </c>
      <c r="N40">
        <v>1</v>
      </c>
    </row>
    <row r="41" spans="1:14" x14ac:dyDescent="0.2">
      <c r="A41">
        <v>39</v>
      </c>
      <c r="B41" t="s">
        <v>107</v>
      </c>
      <c r="C41" t="s">
        <v>198</v>
      </c>
      <c r="D41" t="s">
        <v>199</v>
      </c>
      <c r="E41" t="s">
        <v>194</v>
      </c>
      <c r="F41" s="2" t="s">
        <v>197</v>
      </c>
      <c r="G41">
        <v>1</v>
      </c>
      <c r="I41">
        <v>1</v>
      </c>
      <c r="J41">
        <v>1</v>
      </c>
      <c r="K41">
        <v>1</v>
      </c>
      <c r="N41">
        <v>1</v>
      </c>
    </row>
    <row r="42" spans="1:14" x14ac:dyDescent="0.2">
      <c r="A42">
        <v>40</v>
      </c>
      <c r="B42" t="s">
        <v>107</v>
      </c>
      <c r="C42" t="s">
        <v>202</v>
      </c>
      <c r="D42" t="s">
        <v>203</v>
      </c>
      <c r="E42" t="s">
        <v>194</v>
      </c>
      <c r="F42" s="2" t="s">
        <v>201</v>
      </c>
      <c r="G42">
        <v>1</v>
      </c>
      <c r="I42">
        <v>1</v>
      </c>
      <c r="J42">
        <v>1</v>
      </c>
      <c r="K42">
        <v>1</v>
      </c>
      <c r="M42">
        <v>1</v>
      </c>
      <c r="N42">
        <v>1</v>
      </c>
    </row>
    <row r="43" spans="1:14" x14ac:dyDescent="0.2">
      <c r="A43">
        <v>41</v>
      </c>
      <c r="B43" t="s">
        <v>107</v>
      </c>
      <c r="C43" t="s">
        <v>206</v>
      </c>
      <c r="D43" t="s">
        <v>207</v>
      </c>
      <c r="E43" t="s">
        <v>194</v>
      </c>
      <c r="F43" s="2" t="s">
        <v>205</v>
      </c>
      <c r="G43">
        <v>1</v>
      </c>
      <c r="H43">
        <v>1</v>
      </c>
      <c r="I43">
        <v>1</v>
      </c>
      <c r="J43">
        <v>1</v>
      </c>
      <c r="K43">
        <v>1</v>
      </c>
      <c r="M43">
        <v>1</v>
      </c>
      <c r="N43">
        <v>1</v>
      </c>
    </row>
    <row r="44" spans="1:14" x14ac:dyDescent="0.2">
      <c r="A44">
        <v>42</v>
      </c>
      <c r="B44" t="s">
        <v>107</v>
      </c>
      <c r="C44" t="s">
        <v>210</v>
      </c>
      <c r="D44" t="s">
        <v>211</v>
      </c>
      <c r="E44" t="s">
        <v>194</v>
      </c>
      <c r="F44" s="2" t="s">
        <v>209</v>
      </c>
      <c r="G44">
        <v>1</v>
      </c>
      <c r="H44">
        <v>1</v>
      </c>
      <c r="I44">
        <v>1</v>
      </c>
      <c r="J44">
        <v>1</v>
      </c>
      <c r="K44">
        <v>1</v>
      </c>
      <c r="M44">
        <v>1</v>
      </c>
      <c r="N44">
        <v>1</v>
      </c>
    </row>
    <row r="45" spans="1:14" x14ac:dyDescent="0.2">
      <c r="A45">
        <v>43</v>
      </c>
      <c r="B45" t="s">
        <v>107</v>
      </c>
      <c r="C45" t="s">
        <v>214</v>
      </c>
      <c r="D45" t="s">
        <v>215</v>
      </c>
      <c r="E45" t="s">
        <v>194</v>
      </c>
      <c r="F45" s="2" t="s">
        <v>213</v>
      </c>
      <c r="G45">
        <v>1</v>
      </c>
      <c r="H45">
        <v>1</v>
      </c>
      <c r="I45">
        <v>1</v>
      </c>
      <c r="J45">
        <v>1</v>
      </c>
      <c r="K45">
        <v>1</v>
      </c>
      <c r="M45">
        <v>1</v>
      </c>
      <c r="N45">
        <v>1</v>
      </c>
    </row>
    <row r="46" spans="1:14" x14ac:dyDescent="0.2">
      <c r="A46">
        <v>44</v>
      </c>
      <c r="B46" t="s">
        <v>107</v>
      </c>
      <c r="C46" t="s">
        <v>218</v>
      </c>
      <c r="D46" t="s">
        <v>219</v>
      </c>
      <c r="E46" t="s">
        <v>194</v>
      </c>
      <c r="F46" s="2" t="s">
        <v>217</v>
      </c>
      <c r="G46">
        <v>1</v>
      </c>
      <c r="I46">
        <v>1</v>
      </c>
      <c r="J46">
        <v>1</v>
      </c>
      <c r="K46">
        <v>1</v>
      </c>
      <c r="M46">
        <v>1</v>
      </c>
      <c r="N46">
        <v>1</v>
      </c>
    </row>
    <row r="47" spans="1:14" x14ac:dyDescent="0.2">
      <c r="A47">
        <v>45</v>
      </c>
      <c r="B47" t="s">
        <v>107</v>
      </c>
      <c r="C47" t="s">
        <v>222</v>
      </c>
      <c r="D47" t="s">
        <v>223</v>
      </c>
      <c r="E47" t="s">
        <v>194</v>
      </c>
      <c r="F47" s="2" t="s">
        <v>221</v>
      </c>
      <c r="G47">
        <v>1</v>
      </c>
      <c r="I47">
        <v>1</v>
      </c>
      <c r="J47">
        <v>1</v>
      </c>
      <c r="K47">
        <v>1</v>
      </c>
      <c r="N47">
        <v>1</v>
      </c>
    </row>
    <row r="48" spans="1:14" x14ac:dyDescent="0.2">
      <c r="A48">
        <v>46</v>
      </c>
      <c r="B48" t="s">
        <v>107</v>
      </c>
      <c r="C48" t="s">
        <v>226</v>
      </c>
      <c r="D48" t="s">
        <v>227</v>
      </c>
      <c r="E48" t="s">
        <v>194</v>
      </c>
      <c r="F48" s="2" t="s">
        <v>225</v>
      </c>
      <c r="G48">
        <v>1</v>
      </c>
      <c r="H48">
        <v>1</v>
      </c>
      <c r="I48">
        <v>1</v>
      </c>
      <c r="J48">
        <v>1</v>
      </c>
      <c r="K48">
        <v>1</v>
      </c>
      <c r="M48">
        <v>1</v>
      </c>
      <c r="N48">
        <v>1</v>
      </c>
    </row>
    <row r="49" spans="1:14" x14ac:dyDescent="0.2">
      <c r="A49">
        <v>47</v>
      </c>
      <c r="B49" t="s">
        <v>107</v>
      </c>
      <c r="C49" t="s">
        <v>230</v>
      </c>
      <c r="D49" t="s">
        <v>231</v>
      </c>
      <c r="E49" t="s">
        <v>194</v>
      </c>
      <c r="F49" s="2" t="s">
        <v>229</v>
      </c>
      <c r="G49">
        <v>1</v>
      </c>
      <c r="H49">
        <v>1</v>
      </c>
      <c r="I49">
        <v>1</v>
      </c>
      <c r="J49">
        <v>1</v>
      </c>
      <c r="K49">
        <v>1</v>
      </c>
      <c r="N49">
        <v>1</v>
      </c>
    </row>
    <row r="50" spans="1:14" x14ac:dyDescent="0.2">
      <c r="A50">
        <v>48</v>
      </c>
      <c r="B50" t="s">
        <v>107</v>
      </c>
      <c r="C50" t="s">
        <v>234</v>
      </c>
      <c r="D50" t="s">
        <v>235</v>
      </c>
      <c r="E50" t="s">
        <v>194</v>
      </c>
      <c r="F50" s="2" t="s">
        <v>233</v>
      </c>
      <c r="G50">
        <v>1</v>
      </c>
      <c r="I50">
        <v>1</v>
      </c>
      <c r="J50">
        <v>1</v>
      </c>
      <c r="K50">
        <v>1</v>
      </c>
      <c r="M50">
        <v>1</v>
      </c>
      <c r="N50">
        <v>1</v>
      </c>
    </row>
    <row r="51" spans="1:14" x14ac:dyDescent="0.2">
      <c r="A51">
        <v>49</v>
      </c>
      <c r="B51" t="s">
        <v>107</v>
      </c>
      <c r="C51" t="s">
        <v>238</v>
      </c>
      <c r="D51" t="s">
        <v>239</v>
      </c>
      <c r="E51" t="s">
        <v>194</v>
      </c>
      <c r="F51" s="2" t="s">
        <v>237</v>
      </c>
      <c r="G51">
        <v>1</v>
      </c>
      <c r="I51">
        <v>1</v>
      </c>
      <c r="J51">
        <v>1</v>
      </c>
      <c r="K51">
        <v>1</v>
      </c>
      <c r="M51">
        <v>1</v>
      </c>
      <c r="N51">
        <v>1</v>
      </c>
    </row>
    <row r="52" spans="1:14" x14ac:dyDescent="0.2">
      <c r="A52">
        <v>50</v>
      </c>
      <c r="B52" t="s">
        <v>107</v>
      </c>
      <c r="C52" t="s">
        <v>242</v>
      </c>
      <c r="D52" t="s">
        <v>243</v>
      </c>
      <c r="E52" t="s">
        <v>194</v>
      </c>
      <c r="F52" s="2" t="s">
        <v>241</v>
      </c>
      <c r="G52">
        <v>1</v>
      </c>
      <c r="I52">
        <v>1</v>
      </c>
      <c r="J52">
        <v>1</v>
      </c>
      <c r="K52">
        <v>1</v>
      </c>
      <c r="N52">
        <v>1</v>
      </c>
    </row>
    <row r="53" spans="1:14" x14ac:dyDescent="0.2">
      <c r="A53">
        <v>51</v>
      </c>
      <c r="B53" t="s">
        <v>107</v>
      </c>
      <c r="C53" t="s">
        <v>246</v>
      </c>
      <c r="D53" t="s">
        <v>247</v>
      </c>
      <c r="E53" t="s">
        <v>194</v>
      </c>
      <c r="F53" s="2" t="s">
        <v>245</v>
      </c>
      <c r="G53">
        <v>1</v>
      </c>
      <c r="H53">
        <v>1</v>
      </c>
      <c r="I53">
        <v>1</v>
      </c>
      <c r="J53">
        <v>1</v>
      </c>
      <c r="K53">
        <v>1</v>
      </c>
      <c r="N53">
        <v>1</v>
      </c>
    </row>
    <row r="54" spans="1:14" x14ac:dyDescent="0.2">
      <c r="A54">
        <v>52</v>
      </c>
      <c r="B54" t="s">
        <v>107</v>
      </c>
      <c r="C54" t="s">
        <v>250</v>
      </c>
      <c r="D54" t="s">
        <v>251</v>
      </c>
      <c r="E54" t="s">
        <v>194</v>
      </c>
      <c r="F54" s="2" t="s">
        <v>249</v>
      </c>
      <c r="G54">
        <v>1</v>
      </c>
      <c r="H54">
        <v>1</v>
      </c>
      <c r="I54">
        <v>1</v>
      </c>
      <c r="J54">
        <v>1</v>
      </c>
      <c r="K54">
        <v>1</v>
      </c>
      <c r="M54">
        <v>1</v>
      </c>
      <c r="N54">
        <v>1</v>
      </c>
    </row>
    <row r="55" spans="1:14" x14ac:dyDescent="0.2">
      <c r="A55">
        <v>53</v>
      </c>
      <c r="B55" t="s">
        <v>107</v>
      </c>
      <c r="C55" t="s">
        <v>254</v>
      </c>
      <c r="D55" t="s">
        <v>255</v>
      </c>
      <c r="E55" t="s">
        <v>194</v>
      </c>
      <c r="F55" s="2" t="s">
        <v>253</v>
      </c>
      <c r="G55">
        <v>1</v>
      </c>
      <c r="H55">
        <v>1</v>
      </c>
      <c r="I55">
        <v>1</v>
      </c>
      <c r="J55">
        <v>1</v>
      </c>
      <c r="K55">
        <v>1</v>
      </c>
      <c r="M55">
        <v>1</v>
      </c>
      <c r="N55">
        <v>1</v>
      </c>
    </row>
    <row r="56" spans="1:14" x14ac:dyDescent="0.2">
      <c r="A56">
        <v>54</v>
      </c>
      <c r="B56" t="s">
        <v>107</v>
      </c>
      <c r="C56" t="s">
        <v>258</v>
      </c>
      <c r="D56" t="s">
        <v>259</v>
      </c>
      <c r="E56" t="s">
        <v>194</v>
      </c>
      <c r="F56" s="2" t="s">
        <v>257</v>
      </c>
      <c r="G56">
        <v>1</v>
      </c>
      <c r="I56">
        <v>1</v>
      </c>
      <c r="J56">
        <v>1</v>
      </c>
      <c r="K56">
        <v>1</v>
      </c>
      <c r="N56">
        <v>1</v>
      </c>
    </row>
    <row r="57" spans="1:14" x14ac:dyDescent="0.2">
      <c r="A57">
        <v>55</v>
      </c>
      <c r="B57" t="s">
        <v>107</v>
      </c>
      <c r="C57" t="s">
        <v>262</v>
      </c>
      <c r="D57" t="s">
        <v>263</v>
      </c>
      <c r="E57" t="s">
        <v>194</v>
      </c>
      <c r="F57" s="2" t="s">
        <v>261</v>
      </c>
      <c r="G57">
        <v>1</v>
      </c>
      <c r="H57">
        <v>1</v>
      </c>
      <c r="I57">
        <v>1</v>
      </c>
      <c r="J57">
        <v>1</v>
      </c>
      <c r="K57">
        <v>1</v>
      </c>
      <c r="L57">
        <v>1</v>
      </c>
      <c r="M57">
        <v>1</v>
      </c>
      <c r="N57">
        <v>1</v>
      </c>
    </row>
    <row r="58" spans="1:14" x14ac:dyDescent="0.2">
      <c r="A58">
        <v>56</v>
      </c>
      <c r="B58" t="s">
        <v>107</v>
      </c>
      <c r="C58" t="s">
        <v>266</v>
      </c>
      <c r="D58" t="s">
        <v>267</v>
      </c>
      <c r="E58" t="s">
        <v>194</v>
      </c>
      <c r="F58" s="2" t="s">
        <v>265</v>
      </c>
      <c r="G58">
        <v>1</v>
      </c>
      <c r="H58">
        <v>1</v>
      </c>
      <c r="I58">
        <v>1</v>
      </c>
      <c r="J58">
        <v>1</v>
      </c>
      <c r="K58">
        <v>1</v>
      </c>
      <c r="M58">
        <v>1</v>
      </c>
      <c r="N58">
        <v>1</v>
      </c>
    </row>
    <row r="59" spans="1:14" x14ac:dyDescent="0.2">
      <c r="A59">
        <v>57</v>
      </c>
      <c r="B59" t="s">
        <v>107</v>
      </c>
      <c r="C59" t="s">
        <v>270</v>
      </c>
      <c r="D59" t="s">
        <v>271</v>
      </c>
      <c r="E59" t="s">
        <v>194</v>
      </c>
      <c r="F59" s="2" t="s">
        <v>269</v>
      </c>
      <c r="G59">
        <v>1</v>
      </c>
      <c r="I59">
        <v>1</v>
      </c>
      <c r="J59">
        <v>1</v>
      </c>
      <c r="K59">
        <v>1</v>
      </c>
      <c r="M59">
        <v>1</v>
      </c>
      <c r="N59">
        <v>1</v>
      </c>
    </row>
    <row r="60" spans="1:14" x14ac:dyDescent="0.2">
      <c r="A60">
        <v>58</v>
      </c>
      <c r="B60" t="s">
        <v>107</v>
      </c>
      <c r="C60" t="s">
        <v>274</v>
      </c>
      <c r="D60" t="s">
        <v>275</v>
      </c>
      <c r="E60" t="s">
        <v>194</v>
      </c>
      <c r="F60" s="2" t="s">
        <v>273</v>
      </c>
      <c r="G60">
        <v>1</v>
      </c>
      <c r="H60">
        <v>1</v>
      </c>
      <c r="I60">
        <v>1</v>
      </c>
      <c r="J60">
        <v>1</v>
      </c>
      <c r="K60">
        <v>1</v>
      </c>
      <c r="M60">
        <v>1</v>
      </c>
      <c r="N60">
        <v>1</v>
      </c>
    </row>
    <row r="61" spans="1:14" x14ac:dyDescent="0.2">
      <c r="A61">
        <v>59</v>
      </c>
      <c r="B61" t="s">
        <v>107</v>
      </c>
      <c r="C61" t="s">
        <v>281</v>
      </c>
      <c r="D61" t="s">
        <v>282</v>
      </c>
      <c r="E61" t="s">
        <v>194</v>
      </c>
      <c r="F61" s="2" t="s">
        <v>280</v>
      </c>
      <c r="G61">
        <v>1</v>
      </c>
      <c r="I61">
        <v>1</v>
      </c>
      <c r="J61">
        <v>1</v>
      </c>
      <c r="K61">
        <v>1</v>
      </c>
      <c r="M61">
        <v>1</v>
      </c>
      <c r="N61">
        <v>1</v>
      </c>
    </row>
    <row r="62" spans="1:14" x14ac:dyDescent="0.2">
      <c r="A62">
        <v>60</v>
      </c>
      <c r="B62" t="s">
        <v>107</v>
      </c>
      <c r="C62" t="s">
        <v>285</v>
      </c>
      <c r="D62" t="s">
        <v>286</v>
      </c>
      <c r="E62" t="s">
        <v>194</v>
      </c>
      <c r="F62" s="2" t="s">
        <v>284</v>
      </c>
      <c r="G62">
        <v>1</v>
      </c>
      <c r="H62">
        <v>1</v>
      </c>
      <c r="I62">
        <v>1</v>
      </c>
      <c r="J62">
        <v>1</v>
      </c>
      <c r="K62">
        <v>1</v>
      </c>
      <c r="M62">
        <v>1</v>
      </c>
      <c r="N62">
        <v>1</v>
      </c>
    </row>
    <row r="63" spans="1:14" x14ac:dyDescent="0.2">
      <c r="A63">
        <v>61</v>
      </c>
      <c r="B63" t="s">
        <v>107</v>
      </c>
      <c r="C63" t="s">
        <v>289</v>
      </c>
      <c r="D63" t="s">
        <v>290</v>
      </c>
      <c r="E63" t="s">
        <v>194</v>
      </c>
      <c r="F63" s="2" t="s">
        <v>288</v>
      </c>
      <c r="G63">
        <v>1</v>
      </c>
      <c r="I63">
        <v>1</v>
      </c>
      <c r="J63">
        <v>1</v>
      </c>
      <c r="K63">
        <v>1</v>
      </c>
      <c r="M63">
        <v>1</v>
      </c>
      <c r="N63">
        <v>1</v>
      </c>
    </row>
    <row r="64" spans="1:14" x14ac:dyDescent="0.2">
      <c r="A64">
        <v>62</v>
      </c>
      <c r="B64" t="s">
        <v>107</v>
      </c>
      <c r="C64" t="s">
        <v>293</v>
      </c>
      <c r="D64" t="s">
        <v>294</v>
      </c>
      <c r="E64" t="s">
        <v>194</v>
      </c>
      <c r="F64" s="2" t="s">
        <v>292</v>
      </c>
      <c r="G64">
        <v>1</v>
      </c>
      <c r="I64">
        <v>1</v>
      </c>
      <c r="J64">
        <v>1</v>
      </c>
      <c r="K64">
        <v>1</v>
      </c>
      <c r="M64">
        <v>1</v>
      </c>
      <c r="N64">
        <v>1</v>
      </c>
    </row>
    <row r="65" spans="1:14" x14ac:dyDescent="0.2">
      <c r="A65">
        <v>63</v>
      </c>
      <c r="B65" t="s">
        <v>107</v>
      </c>
      <c r="C65" t="s">
        <v>297</v>
      </c>
      <c r="D65" t="s">
        <v>298</v>
      </c>
      <c r="E65" t="s">
        <v>194</v>
      </c>
      <c r="F65" s="2" t="s">
        <v>296</v>
      </c>
      <c r="G65">
        <v>1</v>
      </c>
      <c r="I65">
        <v>1</v>
      </c>
      <c r="J65">
        <v>1</v>
      </c>
      <c r="K65">
        <v>1</v>
      </c>
      <c r="N65">
        <v>1</v>
      </c>
    </row>
    <row r="66" spans="1:14" x14ac:dyDescent="0.2">
      <c r="A66">
        <v>64</v>
      </c>
      <c r="B66" t="s">
        <v>107</v>
      </c>
      <c r="C66" t="s">
        <v>301</v>
      </c>
      <c r="D66" t="s">
        <v>302</v>
      </c>
      <c r="E66" t="s">
        <v>194</v>
      </c>
      <c r="F66" s="2" t="s">
        <v>300</v>
      </c>
      <c r="G66">
        <v>1</v>
      </c>
      <c r="I66">
        <v>1</v>
      </c>
      <c r="J66">
        <v>1</v>
      </c>
      <c r="K66">
        <v>1</v>
      </c>
      <c r="M66">
        <v>1</v>
      </c>
      <c r="N66">
        <v>1</v>
      </c>
    </row>
    <row r="67" spans="1:14" x14ac:dyDescent="0.2">
      <c r="A67">
        <v>65</v>
      </c>
      <c r="B67" t="s">
        <v>100</v>
      </c>
      <c r="C67" t="s">
        <v>306</v>
      </c>
      <c r="D67" t="s">
        <v>307</v>
      </c>
      <c r="E67" t="s">
        <v>11</v>
      </c>
      <c r="F67" s="2" t="s">
        <v>305</v>
      </c>
      <c r="G67">
        <v>1</v>
      </c>
      <c r="H67">
        <v>1</v>
      </c>
      <c r="I67">
        <v>1</v>
      </c>
      <c r="J67">
        <v>1</v>
      </c>
      <c r="K67">
        <v>1</v>
      </c>
      <c r="L67">
        <v>1</v>
      </c>
      <c r="N67">
        <v>1</v>
      </c>
    </row>
    <row r="68" spans="1:14" x14ac:dyDescent="0.2">
      <c r="A68">
        <v>66</v>
      </c>
      <c r="B68" t="s">
        <v>315</v>
      </c>
      <c r="C68" t="s">
        <v>310</v>
      </c>
      <c r="D68" t="s">
        <v>311</v>
      </c>
      <c r="E68" t="s">
        <v>11</v>
      </c>
      <c r="F68" s="2" t="s">
        <v>309</v>
      </c>
      <c r="G68">
        <v>1</v>
      </c>
      <c r="I68">
        <v>1</v>
      </c>
      <c r="J68">
        <v>1</v>
      </c>
      <c r="K68">
        <v>1</v>
      </c>
      <c r="M68">
        <v>1</v>
      </c>
      <c r="N68">
        <v>1</v>
      </c>
    </row>
    <row r="69" spans="1:14" x14ac:dyDescent="0.2">
      <c r="A69">
        <v>67</v>
      </c>
      <c r="B69" t="s">
        <v>315</v>
      </c>
      <c r="C69" t="s">
        <v>314</v>
      </c>
      <c r="D69" t="s">
        <v>316</v>
      </c>
      <c r="E69" t="s">
        <v>11</v>
      </c>
      <c r="F69" s="2" t="s">
        <v>313</v>
      </c>
      <c r="G69">
        <v>1</v>
      </c>
      <c r="I69">
        <v>1</v>
      </c>
      <c r="J69">
        <v>1</v>
      </c>
      <c r="K69">
        <v>1</v>
      </c>
      <c r="N69">
        <v>1</v>
      </c>
    </row>
    <row r="70" spans="1:14" x14ac:dyDescent="0.2">
      <c r="A70">
        <v>68</v>
      </c>
      <c r="B70" t="s">
        <v>100</v>
      </c>
      <c r="C70" t="s">
        <v>319</v>
      </c>
      <c r="D70" t="s">
        <v>320</v>
      </c>
      <c r="E70" t="s">
        <v>11</v>
      </c>
      <c r="F70" s="2" t="s">
        <v>318</v>
      </c>
      <c r="G70">
        <v>1</v>
      </c>
      <c r="I70">
        <v>1</v>
      </c>
      <c r="J70">
        <v>1</v>
      </c>
      <c r="K70">
        <v>1</v>
      </c>
      <c r="N70">
        <v>1</v>
      </c>
    </row>
    <row r="71" spans="1:14" x14ac:dyDescent="0.2">
      <c r="A71">
        <v>69</v>
      </c>
      <c r="B71" t="s">
        <v>145</v>
      </c>
      <c r="C71" t="s">
        <v>182</v>
      </c>
      <c r="D71" t="s">
        <v>181</v>
      </c>
      <c r="E71" t="s">
        <v>11</v>
      </c>
      <c r="F71" s="3" t="s">
        <v>321</v>
      </c>
      <c r="G71">
        <v>1</v>
      </c>
      <c r="H71">
        <v>1</v>
      </c>
      <c r="I71">
        <v>1</v>
      </c>
      <c r="J71">
        <v>1</v>
      </c>
      <c r="K71">
        <v>1</v>
      </c>
      <c r="L71">
        <v>1</v>
      </c>
      <c r="M71">
        <v>1</v>
      </c>
      <c r="N71">
        <v>1</v>
      </c>
    </row>
    <row r="72" spans="1:14" x14ac:dyDescent="0.2">
      <c r="A72" t="s">
        <v>322</v>
      </c>
      <c r="F72" s="5"/>
      <c r="G72">
        <f>SUBTOTAL(109,Table14[IoT Device])</f>
        <v>69</v>
      </c>
      <c r="H72">
        <f>SUBTOTAL(109,Table14[Sample])</f>
        <v>33</v>
      </c>
      <c r="I72">
        <f>SUBTOTAL(109,Table14[FeatureOfInterest])</f>
        <v>69</v>
      </c>
      <c r="J72">
        <f>SUBTOTAL(109,Table14[Property])</f>
        <v>69</v>
      </c>
      <c r="K72">
        <f>SUBTOTAL(109,Table14[Result])</f>
        <v>69</v>
      </c>
      <c r="L72">
        <f>SUBTOTAL(109,Table14[Platform])</f>
        <v>16</v>
      </c>
      <c r="M72">
        <f>SUBTOTAL(109,Table14[Deployment])</f>
        <v>45</v>
      </c>
      <c r="N72">
        <f>SUBTOTAL(109,Table14[resultTime])</f>
        <v>67</v>
      </c>
    </row>
  </sheetData>
  <mergeCells count="1">
    <mergeCell ref="G1:N1"/>
  </mergeCells>
  <hyperlinks>
    <hyperlink ref="F3" r:id="rId1" xr:uid="{30FDEC23-BAC8-2245-8C8B-96EFF4558A60}"/>
    <hyperlink ref="F4" r:id="rId2" location="readme" xr:uid="{611B1929-2F25-8741-BD36-F1CE042FFBEC}"/>
    <hyperlink ref="F5" r:id="rId3" xr:uid="{DF3BD532-9AB5-1745-A37D-5A1E7964578C}"/>
    <hyperlink ref="F6" r:id="rId4" location="usage" xr:uid="{57C74D77-A666-B94B-852C-BCBAE3B99277}"/>
    <hyperlink ref="F7" r:id="rId5" location="readme" xr:uid="{E08A7C74-EF42-2842-AED3-4611ADB76976}"/>
    <hyperlink ref="F8" r:id="rId6" xr:uid="{D988A88C-8083-E240-A3D4-DD525A3FD283}"/>
    <hyperlink ref="F9" r:id="rId7" xr:uid="{6CA8E9B6-457A-C944-BE98-2B4AAE748BBB}"/>
    <hyperlink ref="F10" r:id="rId8" xr:uid="{D0C879F0-3CCC-FB48-8A28-C91B511850D4}"/>
    <hyperlink ref="F11" r:id="rId9" xr:uid="{A1907D77-E65B-1446-B1C9-D14C6D73E582}"/>
    <hyperlink ref="F12" r:id="rId10" xr:uid="{B2617B8F-3487-4D4B-AE09-FF6C551C9A1E}"/>
    <hyperlink ref="F13" r:id="rId11" xr:uid="{712C73B3-B358-6C40-B970-B90EB10D87A6}"/>
    <hyperlink ref="F14" r:id="rId12" xr:uid="{29A1062F-5785-9643-A918-7DB2C8554339}"/>
    <hyperlink ref="F15" r:id="rId13" xr:uid="{6BF4ECB4-F919-514B-9838-27B4103E6E10}"/>
    <hyperlink ref="F16" r:id="rId14" xr:uid="{FFA1A001-071B-AB4E-ADF4-9C3B6CFAEBBD}"/>
    <hyperlink ref="F17" r:id="rId15" xr:uid="{F6F9B04D-CF27-9E41-9F33-88A602612BDF}"/>
    <hyperlink ref="F18" r:id="rId16" xr:uid="{D7D811D7-202A-5647-9453-857A8E38459C}"/>
    <hyperlink ref="F19" r:id="rId17" xr:uid="{317FA7CF-3CCD-114D-8DDB-54BA641F8E1E}"/>
    <hyperlink ref="F20" r:id="rId18" xr:uid="{4D4ADBB5-5F39-3748-851C-F4796E2057DB}"/>
    <hyperlink ref="F21" r:id="rId19" xr:uid="{4BAE9CCD-62D3-F644-8458-B94F929A90E5}"/>
    <hyperlink ref="F22" r:id="rId20" xr:uid="{D3052C7B-C9BB-2142-83C3-C2B54FF6222C}"/>
    <hyperlink ref="F23" r:id="rId21" xr:uid="{6D2BF2B7-2165-7849-B242-8F638A8C62D7}"/>
    <hyperlink ref="F24" r:id="rId22" xr:uid="{F5693762-4175-4B49-9B73-5D3FAE093CCD}"/>
    <hyperlink ref="F25" r:id="rId23" xr:uid="{B37EE284-EC38-254B-8EE4-77C8D984C751}"/>
    <hyperlink ref="F26" r:id="rId24" xr:uid="{0A60D882-6C46-0D4B-9DFD-10393C0F680B}"/>
    <hyperlink ref="F27" r:id="rId25" xr:uid="{36C46BD3-4401-1E4B-BAE5-D742F84868B6}"/>
    <hyperlink ref="F28" r:id="rId26" xr:uid="{E5D2C25D-CC2A-FE48-8A97-CF7BFBC6E518}"/>
    <hyperlink ref="F30" r:id="rId27" xr:uid="{37097749-269E-B047-A199-D6F77CF128B5}"/>
    <hyperlink ref="F29" r:id="rId28" xr:uid="{D40B6DC4-1767-3D45-95C9-52EE8D5C14D7}"/>
    <hyperlink ref="F31" r:id="rId29" xr:uid="{BD2452EC-F85A-A741-88AB-7E412E8A57BC}"/>
    <hyperlink ref="F32" r:id="rId30" xr:uid="{19861993-4B34-1A42-A608-7B8DA811BE31}"/>
    <hyperlink ref="F33" r:id="rId31" xr:uid="{27027D27-A980-474B-9246-BA1A8FEB9EAA}"/>
    <hyperlink ref="F34" r:id="rId32" xr:uid="{791186DE-D9D2-C649-A9BD-06DAAE7B2901}"/>
    <hyperlink ref="F35" r:id="rId33" xr:uid="{D6EAC6DD-7061-2A49-A3F0-45FEC1927530}"/>
    <hyperlink ref="F36" r:id="rId34" xr:uid="{75F80B64-C63E-F847-991D-7AE02B76DBD5}"/>
    <hyperlink ref="F37" r:id="rId35" xr:uid="{98D7DBE1-D081-5C44-8E40-D916FA027545}"/>
    <hyperlink ref="F38" r:id="rId36" xr:uid="{D1EB88F4-397F-5245-A862-233CB0CA7E0C}"/>
    <hyperlink ref="F39" r:id="rId37" xr:uid="{85400233-A708-EF4A-AD34-D1BAFC13CEB7}"/>
    <hyperlink ref="F40" r:id="rId38" xr:uid="{5A9BCA85-28E2-7140-9230-3DDAB8B85E33}"/>
    <hyperlink ref="F41" r:id="rId39" xr:uid="{7003604D-2742-6343-9D88-B89A5CCE5190}"/>
    <hyperlink ref="F42" r:id="rId40" xr:uid="{73A63359-8CF4-A549-9530-94C18EA59946}"/>
    <hyperlink ref="F43" r:id="rId41" xr:uid="{38217863-A4B5-EC4F-A3A3-A69119AD734A}"/>
    <hyperlink ref="F44" r:id="rId42" xr:uid="{EFAB0A0F-2A87-F64E-9976-BBD38D563BDF}"/>
    <hyperlink ref="F45" r:id="rId43" xr:uid="{10FF6382-3B48-134A-8248-F6F79610B206}"/>
    <hyperlink ref="F46" r:id="rId44" xr:uid="{649C0851-1239-FA41-9E63-2E8AA5DC4E25}"/>
    <hyperlink ref="F47" r:id="rId45" xr:uid="{8D189710-00E3-B743-949B-F535AC34CE6D}"/>
    <hyperlink ref="F48" r:id="rId46" xr:uid="{02273F02-0E14-774C-AC50-6077EBA18219}"/>
    <hyperlink ref="F49" r:id="rId47" xr:uid="{7917C26A-D01F-5843-A3CF-599D38A2854F}"/>
    <hyperlink ref="F50" r:id="rId48" xr:uid="{C85D1565-B6BE-F448-A96E-95FFDE527D4A}"/>
    <hyperlink ref="F51" r:id="rId49" xr:uid="{2379EFAC-35A7-2F49-BD9C-2BC403098B9C}"/>
    <hyperlink ref="F52" r:id="rId50" xr:uid="{E3A5754E-A2E4-5244-9BA1-C6248A1EBB44}"/>
    <hyperlink ref="F53" r:id="rId51" xr:uid="{42B70EA0-9EB1-F34B-AAC8-D1381012CC69}"/>
    <hyperlink ref="F54" r:id="rId52" xr:uid="{3CCCEAFD-C204-9843-B441-EF852133A15D}"/>
    <hyperlink ref="F55" r:id="rId53" xr:uid="{6010C8D8-CEE0-2243-BA00-4B22C6F08C19}"/>
    <hyperlink ref="F56" r:id="rId54" xr:uid="{B5FC151E-4614-B24A-AC23-5732751BE84E}"/>
    <hyperlink ref="F57" r:id="rId55" xr:uid="{750BD65F-4579-5A46-B4CD-6A531CCA76FA}"/>
    <hyperlink ref="F58" r:id="rId56" xr:uid="{BC55FD8C-8CDA-214E-A369-562C2C7E45E3}"/>
    <hyperlink ref="F59" r:id="rId57" xr:uid="{A059DFED-723D-8A48-A80B-F78356889DA7}"/>
    <hyperlink ref="F60" r:id="rId58" xr:uid="{8A7D2387-6283-2342-ADC6-E04BE99C9E96}"/>
    <hyperlink ref="F61" r:id="rId59" xr:uid="{45DE7B1A-A70B-3D40-BCA6-388847400239}"/>
    <hyperlink ref="F62" r:id="rId60" xr:uid="{6006ABBC-6C29-4340-A741-4867BD99D45A}"/>
    <hyperlink ref="F63" r:id="rId61" xr:uid="{1EA3004C-40DD-5B43-BE2E-EE0FEBD68B1F}"/>
    <hyperlink ref="F64" r:id="rId62" xr:uid="{FCBF03A4-6E91-C543-91F9-458F9FEF8B90}"/>
    <hyperlink ref="F65" r:id="rId63" xr:uid="{F86CD2FF-E85C-8F40-A001-E47748CA36B0}"/>
    <hyperlink ref="F66" r:id="rId64" xr:uid="{DC9206F7-AFD0-D04D-857F-2A1F7971DF8C}"/>
    <hyperlink ref="F67" r:id="rId65" xr:uid="{692F832D-410C-ED4F-A7F1-A1AA08752A2C}"/>
    <hyperlink ref="F68" r:id="rId66" xr:uid="{FE7D14DD-8BBA-AF41-9A0A-287FEC12652B}"/>
    <hyperlink ref="F69" r:id="rId67" xr:uid="{7186962D-891C-2B45-8AB1-84ADBD95B40D}"/>
    <hyperlink ref="F70" r:id="rId68" xr:uid="{AB1CD9C8-4AAB-5743-9B84-4D0A6FBC9B57}"/>
    <hyperlink ref="F71" r:id="rId69" xr:uid="{153728B6-261C-BD4A-A95E-1FAB36EB9BDB}"/>
  </hyperlinks>
  <pageMargins left="0.7" right="0.7" top="0.75" bottom="0.75" header="0.3" footer="0.3"/>
  <pageSetup paperSize="9" orientation="portrait" horizontalDpi="0" verticalDpi="0"/>
  <tableParts count="1">
    <tablePart r:id="rId7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4B77-3E75-8641-9F8A-22B3C329BF64}">
  <dimension ref="A1:C36"/>
  <sheetViews>
    <sheetView topLeftCell="A18" workbookViewId="0">
      <selection activeCell="C29" sqref="C29:C36"/>
    </sheetView>
  </sheetViews>
  <sheetFormatPr baseColWidth="10" defaultRowHeight="16" x14ac:dyDescent="0.2"/>
  <cols>
    <col min="1" max="1" width="14.1640625" bestFit="1" customWidth="1"/>
    <col min="2" max="2" width="15.33203125" customWidth="1"/>
  </cols>
  <sheetData>
    <row r="1" spans="1:2" x14ac:dyDescent="0.2">
      <c r="A1" s="27" t="s">
        <v>340</v>
      </c>
      <c r="B1" t="s">
        <v>342</v>
      </c>
    </row>
    <row r="2" spans="1:2" x14ac:dyDescent="0.2">
      <c r="A2" s="12" t="s">
        <v>166</v>
      </c>
      <c r="B2">
        <v>1</v>
      </c>
    </row>
    <row r="3" spans="1:2" x14ac:dyDescent="0.2">
      <c r="A3" s="12" t="s">
        <v>148</v>
      </c>
      <c r="B3">
        <v>1</v>
      </c>
    </row>
    <row r="4" spans="1:2" x14ac:dyDescent="0.2">
      <c r="A4" s="12" t="s">
        <v>110</v>
      </c>
      <c r="B4">
        <v>1</v>
      </c>
    </row>
    <row r="5" spans="1:2" x14ac:dyDescent="0.2">
      <c r="A5" s="12" t="s">
        <v>131</v>
      </c>
      <c r="B5">
        <v>1</v>
      </c>
    </row>
    <row r="6" spans="1:2" x14ac:dyDescent="0.2">
      <c r="A6" s="12" t="s">
        <v>113</v>
      </c>
      <c r="B6">
        <v>1</v>
      </c>
    </row>
    <row r="7" spans="1:2" x14ac:dyDescent="0.2">
      <c r="A7" s="12" t="s">
        <v>97</v>
      </c>
      <c r="B7">
        <v>2</v>
      </c>
    </row>
    <row r="8" spans="1:2" x14ac:dyDescent="0.2">
      <c r="A8" s="12" t="s">
        <v>140</v>
      </c>
      <c r="B8">
        <v>2</v>
      </c>
    </row>
    <row r="9" spans="1:2" x14ac:dyDescent="0.2">
      <c r="A9" s="12" t="s">
        <v>315</v>
      </c>
      <c r="B9">
        <v>2</v>
      </c>
    </row>
    <row r="10" spans="1:2" x14ac:dyDescent="0.2">
      <c r="A10" s="12" t="s">
        <v>119</v>
      </c>
      <c r="B10">
        <v>2</v>
      </c>
    </row>
    <row r="11" spans="1:2" x14ac:dyDescent="0.2">
      <c r="A11" s="12" t="s">
        <v>176</v>
      </c>
      <c r="B11">
        <v>3</v>
      </c>
    </row>
    <row r="12" spans="1:2" x14ac:dyDescent="0.2">
      <c r="A12" s="12" t="s">
        <v>145</v>
      </c>
      <c r="B12">
        <v>4</v>
      </c>
    </row>
    <row r="13" spans="1:2" x14ac:dyDescent="0.2">
      <c r="A13" s="12" t="s">
        <v>100</v>
      </c>
      <c r="B13">
        <v>9</v>
      </c>
    </row>
    <row r="14" spans="1:2" x14ac:dyDescent="0.2">
      <c r="A14" s="12" t="s">
        <v>116</v>
      </c>
      <c r="B14">
        <v>9</v>
      </c>
    </row>
    <row r="15" spans="1:2" x14ac:dyDescent="0.2">
      <c r="A15" s="12" t="s">
        <v>107</v>
      </c>
      <c r="B15">
        <v>31</v>
      </c>
    </row>
    <row r="16" spans="1:2" x14ac:dyDescent="0.2">
      <c r="A16" s="12" t="s">
        <v>341</v>
      </c>
      <c r="B16">
        <v>69</v>
      </c>
    </row>
    <row r="28" spans="1:3" x14ac:dyDescent="0.2">
      <c r="A28" t="s">
        <v>323</v>
      </c>
      <c r="B28" s="28" t="s">
        <v>327</v>
      </c>
      <c r="C28" t="s">
        <v>343</v>
      </c>
    </row>
    <row r="29" spans="1:3" x14ac:dyDescent="0.2">
      <c r="A29" t="s">
        <v>324</v>
      </c>
      <c r="B29">
        <v>69</v>
      </c>
      <c r="C29" s="31">
        <f>Table1[[#This Row],[Dataset Count]]/GETPIVOTDATA("Topic",$A$1)</f>
        <v>1</v>
      </c>
    </row>
    <row r="30" spans="1:3" x14ac:dyDescent="0.2">
      <c r="A30" t="s">
        <v>186</v>
      </c>
      <c r="B30">
        <v>69</v>
      </c>
      <c r="C30" s="31">
        <f>Table1[[#This Row],[Dataset Count]]/GETPIVOTDATA("Topic",$A$1)</f>
        <v>1</v>
      </c>
    </row>
    <row r="31" spans="1:3" x14ac:dyDescent="0.2">
      <c r="A31" t="s">
        <v>326</v>
      </c>
      <c r="B31">
        <v>69</v>
      </c>
      <c r="C31" s="31">
        <f>Table1[[#This Row],[Dataset Count]]/GETPIVOTDATA("Topic",$A$1)</f>
        <v>1</v>
      </c>
    </row>
    <row r="32" spans="1:3" x14ac:dyDescent="0.2">
      <c r="A32" t="s">
        <v>185</v>
      </c>
      <c r="B32">
        <v>69</v>
      </c>
      <c r="C32" s="31">
        <f>Table1[[#This Row],[Dataset Count]]/GETPIVOTDATA("Topic",$A$1)</f>
        <v>1</v>
      </c>
    </row>
    <row r="33" spans="1:3" x14ac:dyDescent="0.2">
      <c r="A33" t="s">
        <v>328</v>
      </c>
      <c r="B33">
        <v>67</v>
      </c>
      <c r="C33" s="31">
        <f>Table1[[#This Row],[Dataset Count]]/GETPIVOTDATA("Topic",$A$1)</f>
        <v>0.97101449275362317</v>
      </c>
    </row>
    <row r="34" spans="1:3" x14ac:dyDescent="0.2">
      <c r="A34" t="s">
        <v>183</v>
      </c>
      <c r="B34">
        <v>45</v>
      </c>
      <c r="C34" s="31">
        <f>Table1[[#This Row],[Dataset Count]]/GETPIVOTDATA("Topic",$A$1)</f>
        <v>0.65217391304347827</v>
      </c>
    </row>
    <row r="35" spans="1:3" x14ac:dyDescent="0.2">
      <c r="A35" t="s">
        <v>325</v>
      </c>
      <c r="B35">
        <v>33</v>
      </c>
      <c r="C35" s="31">
        <f>Table1[[#This Row],[Dataset Count]]/GETPIVOTDATA("Topic",$A$1)</f>
        <v>0.47826086956521741</v>
      </c>
    </row>
    <row r="36" spans="1:3" x14ac:dyDescent="0.2">
      <c r="A36" t="s">
        <v>184</v>
      </c>
      <c r="B36">
        <v>16</v>
      </c>
      <c r="C36" s="31">
        <f>Table1[[#This Row],[Dataset Count]]/GETPIVOTDATA("Topic",$A$1)</f>
        <v>0.2318840579710145</v>
      </c>
    </row>
  </sheetData>
  <sortState xmlns:xlrd2="http://schemas.microsoft.com/office/spreadsheetml/2017/richdata2" ref="A29:B36">
    <sortCondition descending="1" ref="B29:B36"/>
  </sortState>
  <pageMargins left="0.7" right="0.7" top="0.75" bottom="0.75" header="0.3" footer="0.3"/>
  <pageSetup paperSize="9" orientation="portrait" horizontalDpi="0" verticalDpi="0"/>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FilterCriteria</vt:lpstr>
      <vt:lpstr>SearchResults</vt:lpstr>
      <vt:lpstr>FilteredResults</vt:lpstr>
      <vt:lpstr>DatasetInfo</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 Su</dc:creator>
  <cp:lastModifiedBy>Xin Su</cp:lastModifiedBy>
  <dcterms:created xsi:type="dcterms:W3CDTF">2025-08-24T05:23:54Z</dcterms:created>
  <dcterms:modified xsi:type="dcterms:W3CDTF">2026-02-27T04:54:42Z</dcterms:modified>
</cp:coreProperties>
</file>